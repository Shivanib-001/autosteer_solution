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hivani.bhatt1\Downloads\"/>
    </mc:Choice>
  </mc:AlternateContent>
  <xr:revisionPtr revIDLastSave="0" documentId="13_ncr:1_{EAF2D025-783A-4303-8820-A678CC6AF915}" xr6:coauthVersionLast="47" xr6:coauthVersionMax="47" xr10:uidLastSave="{00000000-0000-0000-0000-000000000000}"/>
  <bookViews>
    <workbookView xWindow="-120" yWindow="-120" windowWidth="20730" windowHeight="11040" tabRatio="762" firstSheet="1" activeTab="9" xr2:uid="{00000000-000D-0000-FFFF-FFFF00000000}"/>
  </bookViews>
  <sheets>
    <sheet name="Formulas" sheetId="38" r:id="rId1"/>
    <sheet name="SumIfs CountIfs" sheetId="41" r:id="rId2"/>
    <sheet name="IF Function" sheetId="13" r:id="rId3"/>
    <sheet name="Text" sheetId="42" r:id="rId4"/>
    <sheet name="Text Join" sheetId="43" r:id="rId5"/>
    <sheet name="Sort" sheetId="7" r:id="rId6"/>
    <sheet name="Filter" sheetId="8" r:id="rId7"/>
    <sheet name="Dates" sheetId="44" r:id="rId8"/>
    <sheet name="Referencing" sheetId="4" r:id="rId9"/>
    <sheet name="Addressing Method" sheetId="5" r:id="rId10"/>
    <sheet name="Conditional Formatting" sheetId="9" r:id="rId11"/>
    <sheet name="Conditional Formatting 2" sheetId="36" r:id="rId12"/>
    <sheet name="Pivot Table" sheetId="10" r:id="rId13"/>
    <sheet name="Adv Filter" sheetId="11" state="hidden" r:id="rId14"/>
    <sheet name="Text Function" sheetId="12" state="hidden" r:id="rId15"/>
    <sheet name="data validation" sheetId="14" r:id="rId16"/>
    <sheet name="What If Analysis" sheetId="49" r:id="rId17"/>
    <sheet name="Sheet1" sheetId="15" state="hidden" r:id="rId18"/>
    <sheet name="Emp Name List" sheetId="39" r:id="rId19"/>
    <sheet name="Customers" sheetId="17" r:id="rId20"/>
    <sheet name="Invoice" sheetId="18" r:id="rId21"/>
    <sheet name="Match Func" sheetId="40" state="hidden" r:id="rId22"/>
    <sheet name="Lookup" sheetId="32" r:id="rId23"/>
    <sheet name="Data" sheetId="33" r:id="rId24"/>
    <sheet name="Products" sheetId="19" r:id="rId25"/>
    <sheet name="TableArray" sheetId="20" state="hidden" r:id="rId26"/>
    <sheet name="Charts" sheetId="29" state="hidden" r:id="rId27"/>
    <sheet name="Goal Seek" sheetId="21" state="hidden" r:id="rId28"/>
    <sheet name="SP" sheetId="22" state="hidden" r:id="rId29"/>
    <sheet name="Qtr1" sheetId="23" state="hidden" r:id="rId30"/>
    <sheet name="Jan" sheetId="24" state="hidden" r:id="rId31"/>
    <sheet name="Feb" sheetId="25" state="hidden" r:id="rId32"/>
    <sheet name="Dec" sheetId="26" state="hidden" r:id="rId33"/>
  </sheets>
  <definedNames>
    <definedName name="_xlnm._FilterDatabase" localSheetId="13" hidden="1">'Adv Filter'!$A$6:$H$109</definedName>
    <definedName name="_xlnm._FilterDatabase" localSheetId="10" hidden="1">'Conditional Formatting'!$B$2:$I$102</definedName>
    <definedName name="_xlnm._FilterDatabase" localSheetId="19" hidden="1">Customers!$B$1:$E$13</definedName>
    <definedName name="_xlnm._FilterDatabase" localSheetId="15" hidden="1">'data validation'!$A$8:$E$20</definedName>
    <definedName name="_xlnm._FilterDatabase" localSheetId="6" hidden="1">Filter!$A$1:$F$289</definedName>
    <definedName name="_xlnm._FilterDatabase" localSheetId="0" hidden="1">Formulas!$A$2:$F$20</definedName>
    <definedName name="_xlnm._FilterDatabase" localSheetId="2" hidden="1">'IF Function'!$A$3:$K$291</definedName>
    <definedName name="_xlnm._FilterDatabase" localSheetId="12" hidden="1">'Pivot Table'!$A$1:$F$101</definedName>
    <definedName name="_xlnm._FilterDatabase" localSheetId="8" hidden="1">Referencing!$A$2:$D$102</definedName>
    <definedName name="_xlnm._FilterDatabase" localSheetId="5" hidden="1">Sort!$A$1:$F$101</definedName>
    <definedName name="_xlnm._FilterDatabase" localSheetId="28" hidden="1">SP!$A$3:$F$17</definedName>
    <definedName name="_xlcn.WorksheetConnection_Sheet2B1C221" hidden="1">'Emp Name List'!$B$1:$C$22</definedName>
    <definedName name="abc" localSheetId="7">#REF!</definedName>
    <definedName name="abc" localSheetId="0">#REF!</definedName>
    <definedName name="abc">#REF!</definedName>
    <definedName name="anscount" hidden="1">1</definedName>
    <definedName name="city">#REF!</definedName>
    <definedName name="CP">#REF!</definedName>
    <definedName name="Data" localSheetId="7">OFFSET(#REF!,1,0,#REF!)</definedName>
    <definedName name="Data" localSheetId="0">OFFSET(#REF!,1,0,#REF!)</definedName>
    <definedName name="Data">OFFSET(#REF!,1,0,#REF!)</definedName>
    <definedName name="Refund">#REF!</definedName>
    <definedName name="SP">#REF!</definedName>
    <definedName name="Years" localSheetId="7">OFFSET(#REF!,1,0,#REF!)</definedName>
    <definedName name="Years" localSheetId="0">OFFSET(#REF!,1,0,#REF!)</definedName>
    <definedName name="Years">OFFSET(#REF!,1,0,#REF!)</definedName>
    <definedName name="Z_1E0490EF_5695_442B_A6C6_DDA4B1AAC5F9_.wvu.FilterData" localSheetId="15" hidden="1">'data validation'!$A$8:$B$20</definedName>
    <definedName name="Z_32169818_EA48_4D2C_804F_10AFEFD0B9B2_.wvu.Cols" localSheetId="8" hidden="1">Referencing!$E:$G</definedName>
    <definedName name="Z_32169818_EA48_4D2C_804F_10AFEFD0B9B2_.wvu.FilterData" localSheetId="13" hidden="1">'Adv Filter'!$A$6:$H$109</definedName>
    <definedName name="Z_32169818_EA48_4D2C_804F_10AFEFD0B9B2_.wvu.FilterData" localSheetId="10" hidden="1">'Conditional Formatting'!$B$2:$I$102</definedName>
    <definedName name="Z_32169818_EA48_4D2C_804F_10AFEFD0B9B2_.wvu.FilterData" localSheetId="19" hidden="1">Customers!$B$1:$E$13</definedName>
    <definedName name="Z_32169818_EA48_4D2C_804F_10AFEFD0B9B2_.wvu.FilterData" localSheetId="15" hidden="1">'data validation'!$A$8:$E$20</definedName>
    <definedName name="Z_32169818_EA48_4D2C_804F_10AFEFD0B9B2_.wvu.FilterData" localSheetId="6" hidden="1">Filter!$A$1:$F$112</definedName>
    <definedName name="Z_32169818_EA48_4D2C_804F_10AFEFD0B9B2_.wvu.FilterData" localSheetId="0" hidden="1">Formulas!$A$2:$F$20</definedName>
    <definedName name="Z_32169818_EA48_4D2C_804F_10AFEFD0B9B2_.wvu.FilterData" localSheetId="2" hidden="1">'IF Function'!$A$4:$F$104</definedName>
    <definedName name="Z_32169818_EA48_4D2C_804F_10AFEFD0B9B2_.wvu.FilterData" localSheetId="12" hidden="1">'Pivot Table'!$A$1:$F$101</definedName>
    <definedName name="Z_32169818_EA48_4D2C_804F_10AFEFD0B9B2_.wvu.FilterData" localSheetId="8" hidden="1">Referencing!$A$2:$D$102</definedName>
    <definedName name="Z_32169818_EA48_4D2C_804F_10AFEFD0B9B2_.wvu.FilterData" localSheetId="5" hidden="1">Sort!$A$1:$F$101</definedName>
    <definedName name="Z_32169818_EA48_4D2C_804F_10AFEFD0B9B2_.wvu.FilterData" localSheetId="28" hidden="1">SP!$A$3:$F$17</definedName>
    <definedName name="Z_676E8E26_0768_4493_8718_0623F8608ADF_.wvu.FilterData" localSheetId="15" hidden="1">'data validation'!$A$8:$B$20</definedName>
    <definedName name="Z_83588516_ACED_4DB5_ADF6_8FCCB76D8D57_.wvu.FilterData" localSheetId="13" hidden="1">'Adv Filter'!$A$6:$H$108</definedName>
    <definedName name="Z_83588516_ACED_4DB5_ADF6_8FCCB76D8D57_.wvu.FilterData" localSheetId="10" hidden="1">'Conditional Formatting'!$B$2:$I$102</definedName>
    <definedName name="Z_83588516_ACED_4DB5_ADF6_8FCCB76D8D57_.wvu.FilterData" localSheetId="19" hidden="1">Customers!$B$1:$E$13</definedName>
    <definedName name="Z_83588516_ACED_4DB5_ADF6_8FCCB76D8D57_.wvu.FilterData" localSheetId="6" hidden="1">Filter!$A$1:$F$101</definedName>
    <definedName name="Z_83588516_ACED_4DB5_ADF6_8FCCB76D8D57_.wvu.FilterData" localSheetId="12" hidden="1">'Pivot Table'!$A$1:$F$101</definedName>
    <definedName name="Z_83588516_ACED_4DB5_ADF6_8FCCB76D8D57_.wvu.FilterData" localSheetId="5" hidden="1">Sort!$A$1:$F$101</definedName>
    <definedName name="Z_B390F904_7570_4F6A_B656_012AA881DE24_.wvu.FilterData" localSheetId="15" hidden="1">'data validation'!$A$8:$B$20</definedName>
  </definedNames>
  <calcPr calcId="191029"/>
  <customWorkbookViews>
    <customWorkbookView name="shubhi - Personal View" guid="{32169818-EA48-4D2C-804F-10AFEFD0B9B2}" mergeInterval="0" personalView="1" maximized="1" windowWidth="1020" windowHeight="543" tabRatio="762" activeSheetId="2" showComments="commIndAndComment"/>
  </customWorkbookViews>
  <extLst>
    <ext xmlns:x15="http://schemas.microsoft.com/office/spreadsheetml/2010/11/main" uri="{FCE2AD5D-F65C-4FA6-A056-5C36A1767C68}">
      <x15:dataModel>
        <x15:modelTables>
          <x15:modelTable id="Range" name="Range" connection="WorksheetConnection_Sheet2!$B$1:$C$2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4" i="41" l="1"/>
  <c r="K15" i="41"/>
  <c r="K16" i="41"/>
  <c r="K17" i="41"/>
  <c r="K18" i="41"/>
  <c r="K13" i="41"/>
  <c r="J14" i="41"/>
  <c r="J15" i="41"/>
  <c r="J16" i="41"/>
  <c r="J17" i="41"/>
  <c r="J18" i="41"/>
  <c r="J13" i="41"/>
  <c r="J6" i="41"/>
  <c r="J4" i="41"/>
  <c r="D20" i="38"/>
  <c r="C20" i="38"/>
  <c r="B20" i="38"/>
  <c r="C19" i="38"/>
  <c r="D19" i="38"/>
  <c r="B19" i="38"/>
  <c r="C18" i="38"/>
  <c r="D18" i="38"/>
  <c r="B18" i="38"/>
  <c r="C17" i="38"/>
  <c r="D17" i="38"/>
  <c r="B17" i="38"/>
  <c r="B14" i="38"/>
  <c r="C16" i="38"/>
  <c r="D16" i="38"/>
  <c r="B16" i="38"/>
  <c r="D15" i="38"/>
  <c r="C15" i="38"/>
  <c r="B15" i="38"/>
  <c r="D14" i="38"/>
  <c r="C14" i="38"/>
  <c r="F4" i="38"/>
  <c r="F5" i="38"/>
  <c r="F6" i="38"/>
  <c r="F7" i="38"/>
  <c r="F8" i="38"/>
  <c r="F9" i="38"/>
  <c r="F10" i="38"/>
  <c r="F11" i="38"/>
  <c r="F12" i="38"/>
  <c r="F3" i="38"/>
  <c r="B13" i="38"/>
  <c r="C13" i="38"/>
  <c r="D13" i="38"/>
  <c r="E4" i="38"/>
  <c r="E5" i="38"/>
  <c r="E6" i="38"/>
  <c r="E7" i="38"/>
  <c r="E8" i="38"/>
  <c r="E9" i="38"/>
  <c r="E10" i="38"/>
  <c r="E11" i="38"/>
  <c r="E12" i="38"/>
  <c r="E3" i="38"/>
  <c r="B2" i="15"/>
  <c r="B3" i="15"/>
  <c r="B36" i="29"/>
  <c r="B34" i="29"/>
  <c r="D20" i="26" l="1"/>
  <c r="D19" i="26"/>
  <c r="D18" i="26"/>
  <c r="D17" i="26"/>
  <c r="D16" i="26"/>
  <c r="D15" i="26"/>
  <c r="D14" i="26"/>
  <c r="D13" i="26"/>
  <c r="D12" i="26"/>
  <c r="D11" i="26"/>
  <c r="D10" i="26"/>
  <c r="D9" i="26"/>
  <c r="D8" i="26"/>
  <c r="D7" i="26"/>
  <c r="D6" i="26"/>
  <c r="D5" i="26"/>
  <c r="D4" i="26"/>
  <c r="D3" i="26"/>
  <c r="D2" i="26"/>
  <c r="D20" i="25"/>
  <c r="D19" i="25"/>
  <c r="D18" i="25"/>
  <c r="D17" i="25"/>
  <c r="D16" i="25"/>
  <c r="D15" i="25"/>
  <c r="D14" i="25"/>
  <c r="D13" i="25"/>
  <c r="D12" i="25"/>
  <c r="D11" i="25"/>
  <c r="D10" i="25"/>
  <c r="D9" i="25"/>
  <c r="D8" i="25"/>
  <c r="D7" i="25"/>
  <c r="D6" i="25"/>
  <c r="D5" i="25"/>
  <c r="D4" i="25"/>
  <c r="D3" i="25"/>
  <c r="D2" i="25"/>
  <c r="D20" i="24"/>
  <c r="D19" i="24"/>
  <c r="D18" i="24"/>
  <c r="D17" i="24"/>
  <c r="D16" i="24"/>
  <c r="D15" i="24"/>
  <c r="D14" i="24"/>
  <c r="D13" i="24"/>
  <c r="D12" i="24"/>
  <c r="D11" i="24"/>
  <c r="D10" i="24"/>
  <c r="D9" i="24"/>
  <c r="D8" i="24"/>
  <c r="D7" i="24"/>
  <c r="D6" i="24"/>
  <c r="D5" i="24"/>
  <c r="D4" i="24"/>
  <c r="D3" i="24"/>
  <c r="D2" i="24"/>
  <c r="H17" i="5"/>
  <c r="H20" i="5"/>
  <c r="H19" i="5"/>
  <c r="H18" i="5"/>
  <c r="D21" i="5"/>
  <c r="F21" i="5"/>
  <c r="B21" i="5"/>
  <c r="B1" i="15"/>
  <c r="K5" i="15"/>
  <c r="AB19" i="18"/>
  <c r="IO8" i="17"/>
  <c r="A9" i="15" l="1"/>
  <c r="B5" i="15"/>
  <c r="H2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Vsingal</author>
  </authors>
  <commentList>
    <comment ref="F2" authorId="0" shapeId="0" xr:uid="{00000000-0006-0000-0500-000001000000}">
      <text>
        <r>
          <rPr>
            <sz val="8"/>
            <color indexed="81"/>
            <rFont val="Tahoma"/>
            <family val="2"/>
          </rPr>
          <t>Highlight Cells if Region=West</t>
        </r>
      </text>
    </comment>
    <comment ref="H2" authorId="0" shapeId="0" xr:uid="{00000000-0006-0000-0500-000002000000}">
      <text>
        <r>
          <rPr>
            <sz val="8"/>
            <color indexed="81"/>
            <rFont val="Tahoma"/>
            <family val="2"/>
          </rPr>
          <t>Highlight Cells if year of Hiredate is between 1985 to 1990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58F654-E4C6-4ED0-A81D-8C105031E2C7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8DA8448-446F-44F6-8BB3-DA51AD1633F2}" name="WorksheetConnection_Sheet2!$B$1:$C$22" type="102" refreshedVersion="7" minRefreshableVersion="5">
    <extLst>
      <ext xmlns:x15="http://schemas.microsoft.com/office/spreadsheetml/2010/11/main" uri="{DE250136-89BD-433C-8126-D09CA5730AF9}">
        <x15:connection id="Range">
          <x15:rangePr sourceName="_xlcn.WorksheetConnection_Sheet2B1C221"/>
        </x15:connection>
      </ext>
    </extLst>
  </connection>
</connections>
</file>

<file path=xl/sharedStrings.xml><?xml version="1.0" encoding="utf-8"?>
<sst xmlns="http://schemas.openxmlformats.org/spreadsheetml/2006/main" count="5745" uniqueCount="764">
  <si>
    <t>Total</t>
  </si>
  <si>
    <t>wages per hour</t>
  </si>
  <si>
    <t>Hrs Worked</t>
  </si>
  <si>
    <t>Conveyance</t>
  </si>
  <si>
    <t>Benefits</t>
  </si>
  <si>
    <t>Total Sal</t>
  </si>
  <si>
    <t>ename</t>
  </si>
  <si>
    <t>SAL</t>
  </si>
  <si>
    <t>DOJ</t>
  </si>
  <si>
    <t xml:space="preserve">Brooks </t>
  </si>
  <si>
    <t>Gravity</t>
  </si>
  <si>
    <t>ATPL</t>
  </si>
  <si>
    <t>Octopus</t>
  </si>
  <si>
    <t>Silver Line</t>
  </si>
  <si>
    <t>Retailer</t>
  </si>
  <si>
    <t>Wholesaler</t>
  </si>
  <si>
    <t>Direct</t>
  </si>
  <si>
    <t xml:space="preserve">Oscar </t>
  </si>
  <si>
    <t>Novalty</t>
  </si>
  <si>
    <t xml:space="preserve">Nitco </t>
  </si>
  <si>
    <t>direct</t>
  </si>
  <si>
    <t>Encarta</t>
  </si>
  <si>
    <t>DBT</t>
  </si>
  <si>
    <t>Darmilla</t>
  </si>
  <si>
    <t xml:space="preserve">BTK </t>
  </si>
  <si>
    <t>Type</t>
  </si>
  <si>
    <t>Customer</t>
  </si>
  <si>
    <t>tubes</t>
  </si>
  <si>
    <t>Mixer</t>
  </si>
  <si>
    <t>Total QTY Sold</t>
  </si>
  <si>
    <t>iron</t>
  </si>
  <si>
    <t>wipro</t>
  </si>
  <si>
    <t>Iron</t>
  </si>
  <si>
    <t>hll</t>
  </si>
  <si>
    <t>glass</t>
  </si>
  <si>
    <t>bulbs</t>
  </si>
  <si>
    <t>Blender</t>
  </si>
  <si>
    <t>Selling Price</t>
  </si>
  <si>
    <t>Qty</t>
  </si>
  <si>
    <t>Product</t>
  </si>
  <si>
    <t>Customer Type</t>
  </si>
  <si>
    <t>Invoice No.</t>
  </si>
  <si>
    <t>Invoice Date</t>
  </si>
  <si>
    <t>Empcode</t>
  </si>
  <si>
    <t>First Name</t>
  </si>
  <si>
    <t>Last Name</t>
  </si>
  <si>
    <t>Dept</t>
  </si>
  <si>
    <t>Region</t>
  </si>
  <si>
    <t>Deptcode</t>
  </si>
  <si>
    <t>Hiredate</t>
  </si>
  <si>
    <t>Salary</t>
  </si>
  <si>
    <t>Admin</t>
  </si>
  <si>
    <t>CCD</t>
  </si>
  <si>
    <t>Aakash</t>
  </si>
  <si>
    <t>Dixit</t>
  </si>
  <si>
    <t>east</t>
  </si>
  <si>
    <t>Aalam</t>
  </si>
  <si>
    <t>Qureshi</t>
  </si>
  <si>
    <t>Personal</t>
  </si>
  <si>
    <t>north</t>
  </si>
  <si>
    <t>Aalok</t>
  </si>
  <si>
    <t>Trivedi</t>
  </si>
  <si>
    <t>Andre</t>
  </si>
  <si>
    <t>Fernendes</t>
  </si>
  <si>
    <t>Mktg</t>
  </si>
  <si>
    <t>Ankur</t>
  </si>
  <si>
    <t>Joshi</t>
  </si>
  <si>
    <t>Anuradha</t>
  </si>
  <si>
    <t>Zha</t>
  </si>
  <si>
    <t>Arun</t>
  </si>
  <si>
    <t>Asha</t>
  </si>
  <si>
    <t>Sales</t>
  </si>
  <si>
    <t>Beena</t>
  </si>
  <si>
    <t>Mavadia</t>
  </si>
  <si>
    <t>Sharma</t>
  </si>
  <si>
    <t>R&amp;D</t>
  </si>
  <si>
    <t>west</t>
  </si>
  <si>
    <t>Bharat</t>
  </si>
  <si>
    <t>Shetty</t>
  </si>
  <si>
    <t>south</t>
  </si>
  <si>
    <t>Chetan</t>
  </si>
  <si>
    <t>Dalvi</t>
  </si>
  <si>
    <t>Chitra</t>
  </si>
  <si>
    <t>Pednekar</t>
  </si>
  <si>
    <t>Finance</t>
  </si>
  <si>
    <t>Dayanand</t>
  </si>
  <si>
    <t>Gandhi</t>
  </si>
  <si>
    <t>Deep</t>
  </si>
  <si>
    <t>Chhaya</t>
  </si>
  <si>
    <t>Deepak</t>
  </si>
  <si>
    <t>Jain</t>
  </si>
  <si>
    <t>Disha</t>
  </si>
  <si>
    <t>Parmar</t>
  </si>
  <si>
    <t>Drishti</t>
  </si>
  <si>
    <t>Shah</t>
  </si>
  <si>
    <t>Farhan</t>
  </si>
  <si>
    <t>Sadiq</t>
  </si>
  <si>
    <t>Geeta</t>
  </si>
  <si>
    <t>Darekar</t>
  </si>
  <si>
    <t>Giriraj</t>
  </si>
  <si>
    <t>Gupta</t>
  </si>
  <si>
    <t>Hajra</t>
  </si>
  <si>
    <t>Hoonjan</t>
  </si>
  <si>
    <t>Harsha</t>
  </si>
  <si>
    <t>Heena</t>
  </si>
  <si>
    <t>Godbole</t>
  </si>
  <si>
    <t>Indu</t>
  </si>
  <si>
    <t>Jasbinder</t>
  </si>
  <si>
    <t>Khurana</t>
  </si>
  <si>
    <t>Jeena</t>
  </si>
  <si>
    <t>Baig</t>
  </si>
  <si>
    <t>Jignesh</t>
  </si>
  <si>
    <t>Tripathi</t>
  </si>
  <si>
    <t>Julie</t>
  </si>
  <si>
    <t>D'Souza</t>
  </si>
  <si>
    <t>K. Sita</t>
  </si>
  <si>
    <t>Narayanan</t>
  </si>
  <si>
    <t>Kabir</t>
  </si>
  <si>
    <t>Vora</t>
  </si>
  <si>
    <t>Kajal</t>
  </si>
  <si>
    <t>Joglekar</t>
  </si>
  <si>
    <t>Kalpana</t>
  </si>
  <si>
    <t>Shirishkar</t>
  </si>
  <si>
    <t>Katti</t>
  </si>
  <si>
    <t>Surti</t>
  </si>
  <si>
    <t>Kinnari</t>
  </si>
  <si>
    <t>Mehta</t>
  </si>
  <si>
    <t>Kirtikar</t>
  </si>
  <si>
    <t>Sardesai</t>
  </si>
  <si>
    <t>Kuldeep</t>
  </si>
  <si>
    <t>Kunal</t>
  </si>
  <si>
    <t>Lalita</t>
  </si>
  <si>
    <t>Rao</t>
  </si>
  <si>
    <t>Laveena</t>
  </si>
  <si>
    <t>Shenoy</t>
  </si>
  <si>
    <t>Mala</t>
  </si>
  <si>
    <t>Bhaduri</t>
  </si>
  <si>
    <t>Mandakini</t>
  </si>
  <si>
    <t>Desai</t>
  </si>
  <si>
    <t>Mario</t>
  </si>
  <si>
    <t>Fernandes</t>
  </si>
  <si>
    <t>Maya</t>
  </si>
  <si>
    <t>Panchal</t>
  </si>
  <si>
    <t>Meera</t>
  </si>
  <si>
    <t>Lalwani</t>
  </si>
  <si>
    <t>Mehul</t>
  </si>
  <si>
    <t>Sheth</t>
  </si>
  <si>
    <t>Nayeem</t>
  </si>
  <si>
    <t>Khan</t>
  </si>
  <si>
    <t>Neena</t>
  </si>
  <si>
    <t>Mukherjee</t>
  </si>
  <si>
    <t>Neha</t>
  </si>
  <si>
    <t>Niki</t>
  </si>
  <si>
    <t>Digaria</t>
  </si>
  <si>
    <t>Nita</t>
  </si>
  <si>
    <t>Pandhya</t>
  </si>
  <si>
    <t>Pankaj</t>
  </si>
  <si>
    <t>Sutradhar</t>
  </si>
  <si>
    <t>Parul</t>
  </si>
  <si>
    <t>Parvati</t>
  </si>
  <si>
    <t>Khanna</t>
  </si>
  <si>
    <t>Payal</t>
  </si>
  <si>
    <t>Singhani</t>
  </si>
  <si>
    <t>Pinky</t>
  </si>
  <si>
    <t>Robert</t>
  </si>
  <si>
    <t>Piyush</t>
  </si>
  <si>
    <t>Pooja</t>
  </si>
  <si>
    <t>Gokhale</t>
  </si>
  <si>
    <t>Khetan</t>
  </si>
  <si>
    <t>Nimkar</t>
  </si>
  <si>
    <t>Pravin</t>
  </si>
  <si>
    <t>Priya</t>
  </si>
  <si>
    <t>Shirodkar</t>
  </si>
  <si>
    <t>Priyanka</t>
  </si>
  <si>
    <t>Pushpa</t>
  </si>
  <si>
    <t>Raut</t>
  </si>
  <si>
    <t>Radhika</t>
  </si>
  <si>
    <t>Kulkarni</t>
  </si>
  <si>
    <t>Raja</t>
  </si>
  <si>
    <t>Raymondekar</t>
  </si>
  <si>
    <t>Rakesh</t>
  </si>
  <si>
    <t>Kumar</t>
  </si>
  <si>
    <t>Reeta</t>
  </si>
  <si>
    <t>Naik</t>
  </si>
  <si>
    <t>Richa</t>
  </si>
  <si>
    <t>Raje</t>
  </si>
  <si>
    <t>Rishi</t>
  </si>
  <si>
    <t>Malik</t>
  </si>
  <si>
    <t>Ruby</t>
  </si>
  <si>
    <t>Joseph</t>
  </si>
  <si>
    <t>Ruheal</t>
  </si>
  <si>
    <t>Rupesh</t>
  </si>
  <si>
    <t>Sawant</t>
  </si>
  <si>
    <t>Sagar</t>
  </si>
  <si>
    <t>Bidkar</t>
  </si>
  <si>
    <t>Satinder Kaur</t>
  </si>
  <si>
    <t>Sasan</t>
  </si>
  <si>
    <t>Seema</t>
  </si>
  <si>
    <t>Ranganathan</t>
  </si>
  <si>
    <t>Shaheen</t>
  </si>
  <si>
    <t>Shazia</t>
  </si>
  <si>
    <t>Sheikh</t>
  </si>
  <si>
    <t>Sheetal</t>
  </si>
  <si>
    <t>Director</t>
  </si>
  <si>
    <t>Dodhia</t>
  </si>
  <si>
    <t>Shilpa</t>
  </si>
  <si>
    <t>Lele</t>
  </si>
  <si>
    <t>Parikh</t>
  </si>
  <si>
    <t>Sonia</t>
  </si>
  <si>
    <t>Suchita</t>
  </si>
  <si>
    <t>Sujay</t>
  </si>
  <si>
    <t>Madhrani</t>
  </si>
  <si>
    <t>Suman</t>
  </si>
  <si>
    <t>Shinde</t>
  </si>
  <si>
    <t>Suraj</t>
  </si>
  <si>
    <t>Saksena</t>
  </si>
  <si>
    <t>Surendra</t>
  </si>
  <si>
    <t>Godse</t>
  </si>
  <si>
    <t>Tapan</t>
  </si>
  <si>
    <t>Ghoshal</t>
  </si>
  <si>
    <t>Tara</t>
  </si>
  <si>
    <t>Phule</t>
  </si>
  <si>
    <t>Tejal</t>
  </si>
  <si>
    <t>Patel</t>
  </si>
  <si>
    <t>Timsi</t>
  </si>
  <si>
    <t>Uday</t>
  </si>
  <si>
    <t>Veena</t>
  </si>
  <si>
    <t>Patil</t>
  </si>
  <si>
    <t>Vicky</t>
  </si>
  <si>
    <t>Vinit</t>
  </si>
  <si>
    <t>Shrivastava</t>
  </si>
  <si>
    <t>Vishal</t>
  </si>
  <si>
    <t>Virsinghani</t>
  </si>
  <si>
    <t>Waheda</t>
  </si>
  <si>
    <t>Yamini</t>
  </si>
  <si>
    <t>Zarina</t>
  </si>
  <si>
    <t>GOAL SEEK</t>
  </si>
  <si>
    <t>Price Per Unit</t>
  </si>
  <si>
    <t>Cost</t>
  </si>
  <si>
    <t>Units Sold</t>
  </si>
  <si>
    <t>Fixed Cost</t>
  </si>
  <si>
    <t>Average Discount</t>
  </si>
  <si>
    <t>Total Revenue</t>
  </si>
  <si>
    <t>Total Cost</t>
  </si>
  <si>
    <t>Profit</t>
  </si>
  <si>
    <r>
      <t>Ø</t>
    </r>
    <r>
      <rPr>
        <sz val="7"/>
        <rFont val="Times New Roman"/>
        <family val="1"/>
      </rPr>
      <t xml:space="preserve">       </t>
    </r>
    <r>
      <rPr>
        <sz val="10"/>
        <rFont val="Arial"/>
        <family val="2"/>
      </rPr>
      <t xml:space="preserve">Total revenue = (units sold  </t>
    </r>
    <r>
      <rPr>
        <b/>
        <sz val="10"/>
        <rFont val="Arial"/>
        <family val="2"/>
      </rPr>
      <t>*</t>
    </r>
    <r>
      <rPr>
        <sz val="10"/>
        <rFont val="Arial"/>
        <family val="2"/>
      </rPr>
      <t xml:space="preserve"> price per unit) - (units sold  </t>
    </r>
    <r>
      <rPr>
        <b/>
        <sz val="10"/>
        <rFont val="Arial"/>
        <family val="2"/>
      </rPr>
      <t>*</t>
    </r>
    <r>
      <rPr>
        <sz val="10"/>
        <rFont val="Arial"/>
        <family val="2"/>
      </rPr>
      <t xml:space="preserve"> price per unit </t>
    </r>
    <r>
      <rPr>
        <b/>
        <sz val="10"/>
        <rFont val="Arial"/>
        <family val="2"/>
      </rPr>
      <t>*</t>
    </r>
    <r>
      <rPr>
        <sz val="10"/>
        <rFont val="Arial"/>
        <family val="2"/>
      </rPr>
      <t xml:space="preserve"> average discount).</t>
    </r>
  </si>
  <si>
    <r>
      <t>Ø</t>
    </r>
    <r>
      <rPr>
        <sz val="7"/>
        <rFont val="Times New Roman"/>
        <family val="1"/>
      </rPr>
      <t xml:space="preserve">       </t>
    </r>
    <r>
      <rPr>
        <sz val="10"/>
        <rFont val="Arial"/>
        <family val="2"/>
      </rPr>
      <t xml:space="preserve">Total cost = cost  </t>
    </r>
    <r>
      <rPr>
        <b/>
        <sz val="10"/>
        <rFont val="Arial"/>
        <family val="2"/>
      </rPr>
      <t>*</t>
    </r>
    <r>
      <rPr>
        <sz val="10"/>
        <rFont val="Arial"/>
        <family val="2"/>
      </rPr>
      <t xml:space="preserve">  units sold + fixed cost.</t>
    </r>
  </si>
  <si>
    <r>
      <t>Ø</t>
    </r>
    <r>
      <rPr>
        <sz val="7"/>
        <rFont val="Times New Roman"/>
        <family val="1"/>
      </rPr>
      <t xml:space="preserve">       </t>
    </r>
    <r>
      <rPr>
        <sz val="10"/>
        <rFont val="Arial"/>
        <family val="2"/>
      </rPr>
      <t>Profit  = total revenue – total cost</t>
    </r>
  </si>
  <si>
    <t>Using goal seek find out what should be the price per unit if profit should be Rs. 50,00,000.</t>
  </si>
  <si>
    <t>Loan Amount</t>
  </si>
  <si>
    <t>Period</t>
  </si>
  <si>
    <t>North</t>
  </si>
  <si>
    <t>A</t>
  </si>
  <si>
    <t>B</t>
  </si>
  <si>
    <t>C</t>
  </si>
  <si>
    <t>D</t>
  </si>
  <si>
    <t>Rate of Int</t>
  </si>
  <si>
    <t>EMI</t>
  </si>
  <si>
    <t>Jan</t>
  </si>
  <si>
    <t>Feb</t>
  </si>
  <si>
    <t>March</t>
  </si>
  <si>
    <t>Tobacco</t>
  </si>
  <si>
    <t>Fast Food</t>
  </si>
  <si>
    <t>Cold Drinks</t>
  </si>
  <si>
    <t>Biscuits</t>
  </si>
  <si>
    <t>% Contri</t>
  </si>
  <si>
    <t>East</t>
  </si>
  <si>
    <t>Hrs worked*wages per hour+conveyance+benefits</t>
  </si>
  <si>
    <t>Date</t>
  </si>
  <si>
    <t>Nested IF</t>
  </si>
  <si>
    <t>P1</t>
  </si>
  <si>
    <t>P2</t>
  </si>
  <si>
    <t>Find out the day of joining of Employees in Column J</t>
  </si>
  <si>
    <t>Create New Emp Code in A000 Format in Column I</t>
  </si>
  <si>
    <t>New Empcode</t>
  </si>
  <si>
    <t>WeekDay</t>
  </si>
  <si>
    <t>Emp ID</t>
  </si>
  <si>
    <t>Validations to apply</t>
  </si>
  <si>
    <t>Qty Sold</t>
  </si>
  <si>
    <t>Bonus</t>
  </si>
  <si>
    <t>Code</t>
  </si>
  <si>
    <t>Name</t>
  </si>
  <si>
    <t>City</t>
  </si>
  <si>
    <t>Basic</t>
  </si>
  <si>
    <t>Incentive</t>
  </si>
  <si>
    <t>Total Salary</t>
  </si>
  <si>
    <t>C001</t>
  </si>
  <si>
    <t>John</t>
  </si>
  <si>
    <t>Durham</t>
  </si>
  <si>
    <t>C002</t>
  </si>
  <si>
    <t>C003</t>
  </si>
  <si>
    <t>Naples</t>
  </si>
  <si>
    <t>C004</t>
  </si>
  <si>
    <t>C005</t>
  </si>
  <si>
    <t>C006</t>
  </si>
  <si>
    <t>Allan</t>
  </si>
  <si>
    <t>C007</t>
  </si>
  <si>
    <t>C008</t>
  </si>
  <si>
    <t>C009</t>
  </si>
  <si>
    <t>Mark</t>
  </si>
  <si>
    <t>C010</t>
  </si>
  <si>
    <t>C011</t>
  </si>
  <si>
    <t>C012</t>
  </si>
  <si>
    <t>C013</t>
  </si>
  <si>
    <t>Lewis</t>
  </si>
  <si>
    <t>C014</t>
  </si>
  <si>
    <t>C015</t>
  </si>
  <si>
    <t>C016</t>
  </si>
  <si>
    <t>C017</t>
  </si>
  <si>
    <t>C018</t>
  </si>
  <si>
    <t>C019</t>
  </si>
  <si>
    <t>Calculating Net Revenue</t>
  </si>
  <si>
    <t>Unit Price</t>
  </si>
  <si>
    <t>C022</t>
  </si>
  <si>
    <t>C026</t>
  </si>
  <si>
    <t>C029</t>
  </si>
  <si>
    <t>C034</t>
  </si>
  <si>
    <t>C037</t>
  </si>
  <si>
    <t>C041</t>
  </si>
  <si>
    <t>C047</t>
  </si>
  <si>
    <t>C050</t>
  </si>
  <si>
    <t>C054</t>
  </si>
  <si>
    <t>Net Revenue Generated</t>
  </si>
  <si>
    <t>Gift</t>
  </si>
  <si>
    <t>Region should be selected from Drop Down as north, south, east or west</t>
  </si>
  <si>
    <t>DOJ should always be after year 2000</t>
  </si>
  <si>
    <t>Lookup Table</t>
  </si>
  <si>
    <t xml:space="preserve">Age </t>
  </si>
  <si>
    <t xml:space="preserve">UnitPrice </t>
  </si>
  <si>
    <t>ProductID</t>
  </si>
  <si>
    <t>Apple</t>
  </si>
  <si>
    <t>Banana</t>
  </si>
  <si>
    <t>Orange</t>
  </si>
  <si>
    <t>P3</t>
  </si>
  <si>
    <t>Mango</t>
  </si>
  <si>
    <t>P4</t>
  </si>
  <si>
    <t>Papaya</t>
  </si>
  <si>
    <t>P5</t>
  </si>
  <si>
    <t>In kilometres</t>
  </si>
  <si>
    <t>Chandigarh</t>
  </si>
  <si>
    <t>Hyderabad</t>
  </si>
  <si>
    <t>Lucknow</t>
  </si>
  <si>
    <t>Shimla</t>
  </si>
  <si>
    <t>Srinagar</t>
  </si>
  <si>
    <t>Jaipur</t>
  </si>
  <si>
    <t>Mumbai</t>
  </si>
  <si>
    <t>Delhi</t>
  </si>
  <si>
    <t>Jammu</t>
  </si>
  <si>
    <t>Bangalore</t>
  </si>
  <si>
    <t>Kolkata</t>
  </si>
  <si>
    <t>Chennai</t>
  </si>
  <si>
    <t>Starting station</t>
  </si>
  <si>
    <t>Destination Station</t>
  </si>
  <si>
    <t>Mkt Share</t>
  </si>
  <si>
    <t>Above Average for Sales</t>
  </si>
  <si>
    <t>Conditional Formatting applies formatting to a cell: Logical Test evaluates to TRUE (formatting Applied); Logical Test evaluates to FALSE (formatting NOT Applied)</t>
  </si>
  <si>
    <t>InvoiceNo</t>
  </si>
  <si>
    <t>SalesRep</t>
  </si>
  <si>
    <t>Price</t>
  </si>
  <si>
    <t>Units</t>
  </si>
  <si>
    <t>Joe</t>
  </si>
  <si>
    <t>Majestic</t>
  </si>
  <si>
    <t>Moe</t>
  </si>
  <si>
    <t>Quad</t>
  </si>
  <si>
    <t>Chin</t>
  </si>
  <si>
    <t>Alpine</t>
  </si>
  <si>
    <t>Carlota</t>
  </si>
  <si>
    <t>Bellen</t>
  </si>
  <si>
    <t>S.no</t>
  </si>
  <si>
    <t>Town</t>
  </si>
  <si>
    <t xml:space="preserve">Outlet Name </t>
  </si>
  <si>
    <t>MARL</t>
  </si>
  <si>
    <t>RWK</t>
  </si>
  <si>
    <t>FSK</t>
  </si>
  <si>
    <t>FSS</t>
  </si>
  <si>
    <t>FSP</t>
  </si>
  <si>
    <t>R/W</t>
  </si>
  <si>
    <t>CROWN</t>
  </si>
  <si>
    <t>CVGOLD</t>
  </si>
  <si>
    <t>CVGL</t>
  </si>
  <si>
    <t>F.GOLI</t>
  </si>
  <si>
    <t>PV-Rs.3/</t>
  </si>
  <si>
    <t>sc 10 Rs</t>
  </si>
  <si>
    <t>SC 5/. RS</t>
  </si>
  <si>
    <t>UTSAV 1KG</t>
  </si>
  <si>
    <t xml:space="preserve">UTSAV 250 GM </t>
  </si>
  <si>
    <t>KURALI</t>
  </si>
  <si>
    <t>NAVEEN KUMAR &amp; SONS</t>
  </si>
  <si>
    <t>ARORA TRAD COMP</t>
  </si>
  <si>
    <t>NAGPUR</t>
  </si>
  <si>
    <t>BHIMSEN GUPTA</t>
  </si>
  <si>
    <t>MADAN LAL GIRDHARI LAL</t>
  </si>
  <si>
    <t>AMIT</t>
  </si>
  <si>
    <t xml:space="preserve">SHUKLA BROS </t>
  </si>
  <si>
    <t>AGGARWAL AGENCIES SELF</t>
  </si>
  <si>
    <t>AGGARWAL &amp; CO</t>
  </si>
  <si>
    <t>SOMNATH RAMKARAN</t>
  </si>
  <si>
    <t>RAJ DEPT</t>
  </si>
  <si>
    <t>A0001</t>
  </si>
  <si>
    <t>Vendor ID</t>
  </si>
  <si>
    <t>Address</t>
  </si>
  <si>
    <t>A0011</t>
  </si>
  <si>
    <t>A0005</t>
  </si>
  <si>
    <t>A0026</t>
  </si>
  <si>
    <t>A0023</t>
  </si>
  <si>
    <t>A0017</t>
  </si>
  <si>
    <t>A0004</t>
  </si>
  <si>
    <t>A0007</t>
  </si>
  <si>
    <t>Outlet Name</t>
  </si>
  <si>
    <t>S C (2+1)</t>
  </si>
  <si>
    <t>A-87, Bhim Rao Marg, Kurali</t>
  </si>
  <si>
    <t>A0002</t>
  </si>
  <si>
    <t>B-43, Janak Rd, Kurali</t>
  </si>
  <si>
    <t>A0015</t>
  </si>
  <si>
    <t>RZ-777, Akbar Rd, Kurali</t>
  </si>
  <si>
    <t>A0003</t>
  </si>
  <si>
    <t>A0014</t>
  </si>
  <si>
    <t>A-1, Kebab Street, Kurali</t>
  </si>
  <si>
    <t>777, Nr. Kurali Railway Stn, Kurali</t>
  </si>
  <si>
    <t>A0009</t>
  </si>
  <si>
    <t>88, Rama Rao Street, Kurali</t>
  </si>
  <si>
    <t>A0006</t>
  </si>
  <si>
    <t>ST - 343, St # 4, Rama Vihar, Kurali</t>
  </si>
  <si>
    <t>A0008</t>
  </si>
  <si>
    <t>S-333, Kebab Street, Kurali</t>
  </si>
  <si>
    <t>A0020</t>
  </si>
  <si>
    <t>7, Jameel Siddiqi Rd, Kurali</t>
  </si>
  <si>
    <t>A0021</t>
  </si>
  <si>
    <t>99, Race Course, Kurali</t>
  </si>
  <si>
    <t>A0010</t>
  </si>
  <si>
    <t>A0012</t>
  </si>
  <si>
    <t>A0013</t>
  </si>
  <si>
    <t>A0016</t>
  </si>
  <si>
    <t>A0018</t>
  </si>
  <si>
    <t>A0019</t>
  </si>
  <si>
    <t>A0022</t>
  </si>
  <si>
    <t>A0024</t>
  </si>
  <si>
    <t>A0025</t>
  </si>
  <si>
    <t>RAJA RAO &amp; SONS</t>
  </si>
  <si>
    <t>A-87, Bhim Rao Marg, Nagpur</t>
  </si>
  <si>
    <t>RAJESH GUPTA STORE</t>
  </si>
  <si>
    <t>B-43, Janak Rd, Nagpur</t>
  </si>
  <si>
    <t>MOHAN LAL AND SONS</t>
  </si>
  <si>
    <t>RZ-777, Akbar Rd, Nagpur</t>
  </si>
  <si>
    <t>ADHIKARI BROS</t>
  </si>
  <si>
    <t>A-1, Kebab Street, Nagpur</t>
  </si>
  <si>
    <t>INTERNATIONAL PAN BHANDAR</t>
  </si>
  <si>
    <t>777, Nr. Nagpur Railway Stn, Nagpur</t>
  </si>
  <si>
    <t>PRIYA BIDI STORE</t>
  </si>
  <si>
    <t>88, Rama Rao Street, Nagpur</t>
  </si>
  <si>
    <t>ST - 343, St # 4, Rama Vihar, Nagpur</t>
  </si>
  <si>
    <t>SUBBA RAO &amp; BROS</t>
  </si>
  <si>
    <t>S-333, Kebab Street, Nagpur</t>
  </si>
  <si>
    <t>RAJDEEP STORES</t>
  </si>
  <si>
    <t>7, Jameel Siddiqi Rd, Nagpur</t>
  </si>
  <si>
    <t>PRIYANKA PAN BHANDAR</t>
  </si>
  <si>
    <t>99, Race Course, Nagpur</t>
  </si>
  <si>
    <t>Sales Person</t>
  </si>
  <si>
    <t>Tax</t>
  </si>
  <si>
    <t>Duty</t>
  </si>
  <si>
    <t>Category</t>
  </si>
  <si>
    <t>Value</t>
  </si>
  <si>
    <t>Hard Disk</t>
  </si>
  <si>
    <t>Zeta</t>
  </si>
  <si>
    <t>Monitor</t>
  </si>
  <si>
    <t>Beta</t>
  </si>
  <si>
    <t>Kochin</t>
  </si>
  <si>
    <t>Mouse</t>
  </si>
  <si>
    <t>Gamma</t>
  </si>
  <si>
    <t>CPU</t>
  </si>
  <si>
    <t>Alpha</t>
  </si>
  <si>
    <t>KeyBoard</t>
  </si>
  <si>
    <t>Faridabad</t>
  </si>
  <si>
    <t>Laptop</t>
  </si>
  <si>
    <t>Munnar</t>
  </si>
  <si>
    <t>Udaipur</t>
  </si>
  <si>
    <t>Noida</t>
  </si>
  <si>
    <t>Alipur</t>
  </si>
  <si>
    <t>Agra</t>
  </si>
  <si>
    <t>Guhawti</t>
  </si>
  <si>
    <t>gurgaon</t>
  </si>
  <si>
    <t>Product code</t>
  </si>
  <si>
    <t>Sales Date</t>
  </si>
  <si>
    <t>Discount</t>
  </si>
  <si>
    <t>Sales&gt;10000 then 5% of Sales
Sales between 5000-10000 then 10% of Sales
else 15% of Sales</t>
  </si>
  <si>
    <t>Pen to Gamma category and Pencil to others</t>
  </si>
  <si>
    <t>Extra Discount</t>
  </si>
  <si>
    <t>Physics</t>
  </si>
  <si>
    <t>Chemistry</t>
  </si>
  <si>
    <t>Biology</t>
  </si>
  <si>
    <t>Total Marks</t>
  </si>
  <si>
    <t>Average</t>
  </si>
  <si>
    <t>Rebecca Powell</t>
  </si>
  <si>
    <t>Cheryl Ramirez</t>
  </si>
  <si>
    <t>Martin Barnes</t>
  </si>
  <si>
    <t>Bruce Foster</t>
  </si>
  <si>
    <t>Eugene Jenkins</t>
  </si>
  <si>
    <t>Lois Price</t>
  </si>
  <si>
    <t>Aaron Evans</t>
  </si>
  <si>
    <t>Lawrence Richardson</t>
  </si>
  <si>
    <t>Jennifer Hughes</t>
  </si>
  <si>
    <t>Stephen Harris</t>
  </si>
  <si>
    <t>Grand Total</t>
  </si>
  <si>
    <t>No. of Students</t>
  </si>
  <si>
    <t>Highest score</t>
  </si>
  <si>
    <t>Lowest score</t>
  </si>
  <si>
    <t>No. of Students &gt;70</t>
  </si>
  <si>
    <t>No. of Students Failed</t>
  </si>
  <si>
    <t>2nd Maximum value</t>
  </si>
  <si>
    <t>3rd Minimum value</t>
  </si>
  <si>
    <t>If sales&gt;=8000 then 500 else No Tax</t>
  </si>
  <si>
    <t>Alpha-- 3000
Beta--2000
Gamma-- 1500
Zeta--1000</t>
  </si>
  <si>
    <t>ABC</t>
  </si>
  <si>
    <t>Mar</t>
  </si>
  <si>
    <t>Get data from Data sheet</t>
  </si>
  <si>
    <t>Sales&gt;10000 then 10% of Sales
else 5% of sales</t>
  </si>
  <si>
    <t>Sal should be more than 20000</t>
  </si>
  <si>
    <t>MATCH Function</t>
  </si>
  <si>
    <t>Return the relative position (column or row number) of a lookup value</t>
  </si>
  <si>
    <r>
      <t>=MATCH(</t>
    </r>
    <r>
      <rPr>
        <sz val="11"/>
        <color rgb="FF0070C0"/>
        <rFont val="Times New Roman"/>
        <family val="1"/>
      </rPr>
      <t>Lookup Value</t>
    </r>
    <r>
      <rPr>
        <sz val="11"/>
        <color theme="1"/>
        <rFont val="Times New Roman"/>
        <family val="1"/>
      </rPr>
      <t>,</t>
    </r>
    <r>
      <rPr>
        <sz val="11"/>
        <color rgb="FFFF0000"/>
        <rFont val="Times New Roman"/>
        <family val="1"/>
      </rPr>
      <t xml:space="preserve"> Lookup Array</t>
    </r>
    <r>
      <rPr>
        <sz val="11"/>
        <color theme="1"/>
        <rFont val="Times New Roman"/>
        <family val="1"/>
      </rPr>
      <t xml:space="preserve">, </t>
    </r>
    <r>
      <rPr>
        <sz val="11"/>
        <color rgb="FF00B050"/>
        <rFont val="Times New Roman"/>
        <family val="1"/>
      </rPr>
      <t>Match Type</t>
    </r>
    <r>
      <rPr>
        <sz val="11"/>
        <color theme="1"/>
        <rFont val="Times New Roman"/>
        <family val="1"/>
      </rPr>
      <t>)</t>
    </r>
  </si>
  <si>
    <t>Lookup Value:</t>
  </si>
  <si>
    <t>Select the Column heading where the result will be found</t>
  </si>
  <si>
    <t>Lookup Array:</t>
  </si>
  <si>
    <t>Select the entire row of column headings</t>
  </si>
  <si>
    <t>Match Type:</t>
  </si>
  <si>
    <t>"0"</t>
  </si>
  <si>
    <t>finds the first value that is exactly equal to the Lookup Value</t>
  </si>
  <si>
    <t>"1"</t>
  </si>
  <si>
    <t>finds the largest value that is less than/equal to Lookup Value (Ascending Order)</t>
  </si>
  <si>
    <t>"-1"</t>
  </si>
  <si>
    <t>finds the smallest value that is greater than/equal to Lookup Value (Descending Order)</t>
  </si>
  <si>
    <t>Task 1:</t>
  </si>
  <si>
    <t>Use the MATCH function to find the column/position number that corresponds to the product "Cantaloupe"</t>
  </si>
  <si>
    <t>Step 1:</t>
  </si>
  <si>
    <t>Lookup value would be "Cantaloupe"</t>
  </si>
  <si>
    <t>Step 2:</t>
  </si>
  <si>
    <t>Lookup Array would the range of all the fruit types</t>
  </si>
  <si>
    <t>Step 3:</t>
  </si>
  <si>
    <t>Match type would be "Exact" (0)</t>
  </si>
  <si>
    <t>Cantaloupe</t>
  </si>
  <si>
    <t>Apples</t>
  </si>
  <si>
    <t>Oranges</t>
  </si>
  <si>
    <t>Bananas</t>
  </si>
  <si>
    <t>Pineapples</t>
  </si>
  <si>
    <t>Watermelon</t>
  </si>
  <si>
    <t>Task 2:</t>
  </si>
  <si>
    <t>Use the MATCH function to find the row/position number that corresponds to France</t>
  </si>
  <si>
    <t>France</t>
  </si>
  <si>
    <t>United States</t>
  </si>
  <si>
    <t>Germany</t>
  </si>
  <si>
    <t>Italy</t>
  </si>
  <si>
    <t>Argentina</t>
  </si>
  <si>
    <t>Brazil</t>
  </si>
  <si>
    <t>Spain</t>
  </si>
  <si>
    <t>Portugal</t>
  </si>
  <si>
    <t>China</t>
  </si>
  <si>
    <t>Greece</t>
  </si>
  <si>
    <t>Department</t>
  </si>
  <si>
    <t>Earnings</t>
  </si>
  <si>
    <t>Years of Service</t>
  </si>
  <si>
    <t>Diana Stone</t>
  </si>
  <si>
    <t>Marketing</t>
  </si>
  <si>
    <t>Jesse Bennet</t>
  </si>
  <si>
    <t>South</t>
  </si>
  <si>
    <t>Rita Greg</t>
  </si>
  <si>
    <t>Adam Long</t>
  </si>
  <si>
    <t>Administration</t>
  </si>
  <si>
    <t>Anna Morris</t>
  </si>
  <si>
    <t>West</t>
  </si>
  <si>
    <t>Accounts</t>
  </si>
  <si>
    <t>Annie Philips</t>
  </si>
  <si>
    <t>Human resources</t>
  </si>
  <si>
    <t>David Ford</t>
  </si>
  <si>
    <t>Customer support</t>
  </si>
  <si>
    <t>Davis Lee</t>
  </si>
  <si>
    <t>James Overmire</t>
  </si>
  <si>
    <t>Jamie Morrison</t>
  </si>
  <si>
    <t>Julia Stockton</t>
  </si>
  <si>
    <t>Kevin Meyers</t>
  </si>
  <si>
    <t>Mary Smith</t>
  </si>
  <si>
    <t>Maureen O'Connor</t>
  </si>
  <si>
    <t>Melinda McGregor</t>
  </si>
  <si>
    <t>Melissa James</t>
  </si>
  <si>
    <t>Michelle Washington</t>
  </si>
  <si>
    <t>Nikki Cleary</t>
  </si>
  <si>
    <t>Paul Anderson</t>
  </si>
  <si>
    <t>Rita Lawson</t>
  </si>
  <si>
    <t>Rob Dukes</t>
  </si>
  <si>
    <t>Roger Williams</t>
  </si>
  <si>
    <t>Sam Peters</t>
  </si>
  <si>
    <t>Sandra Lawrence</t>
  </si>
  <si>
    <t>Sandy Stewart</t>
  </si>
  <si>
    <t>Shannon Lee</t>
  </si>
  <si>
    <t>Sonia McCormick</t>
  </si>
  <si>
    <t>Stuart Young</t>
  </si>
  <si>
    <t>Tammy Heiret</t>
  </si>
  <si>
    <t>Tina Ralls</t>
  </si>
  <si>
    <t>Trevor Johnson</t>
  </si>
  <si>
    <t>Wendy Alto</t>
  </si>
  <si>
    <t>Julie George</t>
  </si>
  <si>
    <t>Kendra James</t>
  </si>
  <si>
    <t>Pamela Carter</t>
  </si>
  <si>
    <t>James Owens</t>
  </si>
  <si>
    <t>Michael Lee</t>
  </si>
  <si>
    <t>Cynthia Roberts</t>
  </si>
  <si>
    <t>Rebecca Austin</t>
  </si>
  <si>
    <t>Malcolm Pingault</t>
  </si>
  <si>
    <t>How many employees from the South Region work in Marketing?</t>
  </si>
  <si>
    <t>And their total salary?</t>
  </si>
  <si>
    <t>Complete the table below</t>
  </si>
  <si>
    <t># of Employees</t>
  </si>
  <si>
    <t>Total Earnings</t>
  </si>
  <si>
    <t>Full Name</t>
  </si>
  <si>
    <t>State</t>
  </si>
  <si>
    <t>Email</t>
  </si>
  <si>
    <t>Carrier</t>
  </si>
  <si>
    <t>Revised (remove extra spaces)</t>
  </si>
  <si>
    <t>jackie wilkinson</t>
  </si>
  <si>
    <t>Ny</t>
  </si>
  <si>
    <t>Printability@Gmail.Com</t>
  </si>
  <si>
    <t xml:space="preserve">  FedEx</t>
  </si>
  <si>
    <t>joyce duke</t>
  </si>
  <si>
    <t>Ca</t>
  </si>
  <si>
    <t>Goathorns@Yahoo.Com</t>
  </si>
  <si>
    <t xml:space="preserve">UPS           </t>
  </si>
  <si>
    <t>uma ripples</t>
  </si>
  <si>
    <t>Nj</t>
  </si>
  <si>
    <t>Bluntville49@Netscape.Net</t>
  </si>
  <si>
    <t xml:space="preserve"> FedEx</t>
  </si>
  <si>
    <t>james herring</t>
  </si>
  <si>
    <t>Mo</t>
  </si>
  <si>
    <t>Jamesherring@bcu.edu</t>
  </si>
  <si>
    <t xml:space="preserve">   FedEx</t>
  </si>
  <si>
    <t>ronald lopez</t>
  </si>
  <si>
    <t>Fl</t>
  </si>
  <si>
    <t>Ticketmonster@Aol.Com</t>
  </si>
  <si>
    <t xml:space="preserve">USPS          </t>
  </si>
  <si>
    <t>eric delion</t>
  </si>
  <si>
    <t>Ut</t>
  </si>
  <si>
    <t>Elericoprizzong@Msn.Com</t>
  </si>
  <si>
    <t xml:space="preserve">  UPS</t>
  </si>
  <si>
    <t>staci palovich</t>
  </si>
  <si>
    <t>Nv</t>
  </si>
  <si>
    <t>Xtremlyharsh@Yahoo.Com</t>
  </si>
  <si>
    <t>USPS</t>
  </si>
  <si>
    <t>dorothy graves</t>
  </si>
  <si>
    <t>Ga</t>
  </si>
  <si>
    <t>Dotgraves@Tillmanmortgage.Com</t>
  </si>
  <si>
    <t>FedEx</t>
  </si>
  <si>
    <t>melodie shackelford</t>
  </si>
  <si>
    <t>Va</t>
  </si>
  <si>
    <t>Melodieshackelford@bcu.edu</t>
  </si>
  <si>
    <t>elizabeth sampson</t>
  </si>
  <si>
    <t>Ajfan4Everinva@Verizon.Net</t>
  </si>
  <si>
    <t>UPS</t>
  </si>
  <si>
    <t>vanessa ashworth</t>
  </si>
  <si>
    <t>Or</t>
  </si>
  <si>
    <t>Pjnjj@Yahoo.Com</t>
  </si>
  <si>
    <t xml:space="preserve">   USPS</t>
  </si>
  <si>
    <t>jennifer kelly</t>
  </si>
  <si>
    <t>Sc</t>
  </si>
  <si>
    <t>Jenni_24701@Yahoo.Com</t>
  </si>
  <si>
    <t>savannah johnson</t>
  </si>
  <si>
    <t>Nc</t>
  </si>
  <si>
    <t>Jkesha@rvcc.edu</t>
  </si>
  <si>
    <t>shirley brooks</t>
  </si>
  <si>
    <t>Shirleylve@Yahoo.Com</t>
  </si>
  <si>
    <t xml:space="preserve"> USPS</t>
  </si>
  <si>
    <t>cecilia ruelas</t>
  </si>
  <si>
    <t>Wa</t>
  </si>
  <si>
    <t>Cruelas@Bellsouth.Net</t>
  </si>
  <si>
    <t>gary markfort</t>
  </si>
  <si>
    <t>Markfortg@Yahoo.Com</t>
  </si>
  <si>
    <t xml:space="preserve">  USPS</t>
  </si>
  <si>
    <t>marisol valentin</t>
  </si>
  <si>
    <t>Chiqui_Fiera@Ygu.edu</t>
  </si>
  <si>
    <t>steven claybaugh</t>
  </si>
  <si>
    <t>Steve@Theclaybaughgroup.Net</t>
  </si>
  <si>
    <t xml:space="preserve"> UPS</t>
  </si>
  <si>
    <t>First Alphabet capital</t>
  </si>
  <si>
    <t>Capital</t>
  </si>
  <si>
    <t>lowercase</t>
  </si>
  <si>
    <t>Location</t>
  </si>
  <si>
    <t>Q1</t>
  </si>
  <si>
    <t>Q2</t>
  </si>
  <si>
    <t>Q3</t>
  </si>
  <si>
    <t>Q4</t>
  </si>
  <si>
    <t>Los Angeles</t>
  </si>
  <si>
    <t>San Francisco</t>
  </si>
  <si>
    <t>Sales Rep</t>
  </si>
  <si>
    <t>Total Sales</t>
  </si>
  <si>
    <t>Greene</t>
  </si>
  <si>
    <t>Sykes</t>
  </si>
  <si>
    <t>Edwards</t>
  </si>
  <si>
    <t>Norton</t>
  </si>
  <si>
    <t>Revenue</t>
  </si>
  <si>
    <t>Cost of Goods</t>
  </si>
  <si>
    <t>Gross Income</t>
  </si>
  <si>
    <t>Net Income</t>
  </si>
  <si>
    <t>Overhead Expenses</t>
  </si>
  <si>
    <t>2014</t>
  </si>
  <si>
    <t>Qtr3</t>
  </si>
  <si>
    <t>Qtr4</t>
  </si>
  <si>
    <t>2015</t>
  </si>
  <si>
    <t>Qtr1</t>
  </si>
  <si>
    <t>Qtr2</t>
  </si>
  <si>
    <t>2016</t>
  </si>
  <si>
    <t>2017</t>
  </si>
  <si>
    <t>Get Only Name</t>
  </si>
  <si>
    <t>jackie</t>
  </si>
  <si>
    <t>wilkinson</t>
  </si>
  <si>
    <t>joyce</t>
  </si>
  <si>
    <t>duke</t>
  </si>
  <si>
    <t>uma</t>
  </si>
  <si>
    <t>ripples</t>
  </si>
  <si>
    <t>james</t>
  </si>
  <si>
    <t>herring</t>
  </si>
  <si>
    <t>ronald</t>
  </si>
  <si>
    <t>lopez</t>
  </si>
  <si>
    <t>eric</t>
  </si>
  <si>
    <t>delion</t>
  </si>
  <si>
    <t>staci</t>
  </si>
  <si>
    <t>palovich</t>
  </si>
  <si>
    <t>dorothy</t>
  </si>
  <si>
    <t>graves</t>
  </si>
  <si>
    <t>melodie</t>
  </si>
  <si>
    <t>shackelford</t>
  </si>
  <si>
    <t>elizabeth</t>
  </si>
  <si>
    <t>sampson</t>
  </si>
  <si>
    <t>vanessa</t>
  </si>
  <si>
    <t>ashworth</t>
  </si>
  <si>
    <t>jennifer</t>
  </si>
  <si>
    <t>kelly</t>
  </si>
  <si>
    <t>savannah</t>
  </si>
  <si>
    <t>johnson</t>
  </si>
  <si>
    <t>shirley</t>
  </si>
  <si>
    <t>brooks</t>
  </si>
  <si>
    <t>cecilia</t>
  </si>
  <si>
    <t>ruelas</t>
  </si>
  <si>
    <t>gary</t>
  </si>
  <si>
    <t>markfort</t>
  </si>
  <si>
    <t>marisol</t>
  </si>
  <si>
    <t>valentin</t>
  </si>
  <si>
    <t>steven</t>
  </si>
  <si>
    <t>claybaugh</t>
  </si>
  <si>
    <t>First</t>
  </si>
  <si>
    <t>Last</t>
  </si>
  <si>
    <t>Employees working for more than 5 years</t>
  </si>
  <si>
    <t>Days</t>
  </si>
  <si>
    <t>Months</t>
  </si>
  <si>
    <t>years</t>
  </si>
  <si>
    <t>End Date</t>
  </si>
  <si>
    <t>Start date</t>
  </si>
  <si>
    <t>Date &amp; time</t>
  </si>
  <si>
    <t>Make DropDown for Employe name from list given on next sheet</t>
  </si>
  <si>
    <t>Working Days</t>
  </si>
  <si>
    <t>Car Loan Analysis</t>
  </si>
  <si>
    <t>Car Loan Output</t>
  </si>
  <si>
    <t>Price of Car</t>
  </si>
  <si>
    <t>Amount of Loan</t>
  </si>
  <si>
    <t>Down Payment</t>
  </si>
  <si>
    <t>Monthly Payment</t>
  </si>
  <si>
    <t>Loan Length</t>
  </si>
  <si>
    <t>Interest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</si>
</sst>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&quot;$&quot;#,##0.00_);[Red]\(&quot;$&quot;#,##0.0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[$-409]mmmm\ d\,\ yyyy;@"/>
    <numFmt numFmtId="168" formatCode=";;;"/>
    <numFmt numFmtId="169" formatCode="&quot;£&quot;#,##0.00"/>
    <numFmt numFmtId="170" formatCode="_ &quot;Rs.&quot;\ * #,##0.00_ ;_ &quot;Rs.&quot;\ * \-#,##0.00_ ;_ &quot;Rs.&quot;\ * &quot;-&quot;??_ ;_ @_ "/>
    <numFmt numFmtId="171" formatCode="&quot;$&quot;#,##0\ ;\(&quot;$&quot;#,##0\)"/>
    <numFmt numFmtId="172" formatCode="[$-409]d\-mmm\-yy;@"/>
    <numFmt numFmtId="173" formatCode="_([$$]#,##0_)_%;\([$$]#,##0\)_%;_(&quot;–&quot;_)_%;_(@_)_%"/>
    <numFmt numFmtId="174" formatCode="_(#,##0_)_%;\(#,##0\)_%;_(&quot;–&quot;_)_%;_(@_)_%"/>
    <numFmt numFmtId="175" formatCode="[&lt;=9999999]###\-####;\(###\)\ ###\-####"/>
    <numFmt numFmtId="176" formatCode="_(* #,##0_);_(* \(#,##0\);_(* &quot;-&quot;??_);_(@_)"/>
    <numFmt numFmtId="177" formatCode="[$-14009]dd/mmm/yy;@"/>
  </numFmts>
  <fonts count="56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b/>
      <sz val="10"/>
      <name val="Arial"/>
      <family val="2"/>
    </font>
    <font>
      <sz val="9"/>
      <color indexed="9"/>
      <name val="Arial"/>
      <family val="2"/>
    </font>
    <font>
      <b/>
      <sz val="11"/>
      <color indexed="9"/>
      <name val="Baskerville"/>
      <family val="1"/>
    </font>
    <font>
      <b/>
      <sz val="10"/>
      <color indexed="10"/>
      <name val="Arial"/>
      <family val="2"/>
    </font>
    <font>
      <b/>
      <sz val="11"/>
      <name val="Arial"/>
      <family val="2"/>
    </font>
    <font>
      <sz val="18"/>
      <name val="Arial"/>
      <family val="2"/>
    </font>
    <font>
      <sz val="12"/>
      <name val="Arial"/>
      <family val="2"/>
    </font>
    <font>
      <sz val="10"/>
      <name val="Wingdings"/>
      <charset val="2"/>
    </font>
    <font>
      <sz val="7"/>
      <name val="Times New Roman"/>
      <family val="1"/>
    </font>
    <font>
      <sz val="11"/>
      <color indexed="8"/>
      <name val="Calibri"/>
      <family val="2"/>
    </font>
    <font>
      <sz val="10"/>
      <name val="Arial"/>
      <family val="2"/>
    </font>
    <font>
      <sz val="8"/>
      <name val="Calibri"/>
      <family val="2"/>
    </font>
    <font>
      <sz val="11"/>
      <name val="Calibri"/>
      <family val="2"/>
    </font>
    <font>
      <b/>
      <sz val="10"/>
      <color indexed="12"/>
      <name val="Helv"/>
    </font>
    <font>
      <b/>
      <sz val="12"/>
      <color indexed="8"/>
      <name val="Calibri"/>
      <family val="2"/>
    </font>
    <font>
      <sz val="11"/>
      <color indexed="8"/>
      <name val="Arial"/>
      <family val="2"/>
    </font>
    <font>
      <sz val="8"/>
      <color indexed="81"/>
      <name val="Tahoma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0"/>
      <name val="Arial"/>
      <family val="2"/>
    </font>
    <font>
      <sz val="10"/>
      <color indexed="10"/>
      <name val="Arial"/>
      <family val="2"/>
    </font>
    <font>
      <sz val="11"/>
      <color rgb="FFFF0000"/>
      <name val="Calibri"/>
      <family val="2"/>
    </font>
    <font>
      <u/>
      <sz val="10"/>
      <color indexed="12"/>
      <name val="Arial"/>
      <family val="2"/>
    </font>
    <font>
      <i/>
      <sz val="10"/>
      <name val="Arial"/>
      <family val="2"/>
    </font>
    <font>
      <sz val="8"/>
      <name val="Tahoma"/>
      <family val="2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9"/>
      <color theme="0"/>
      <name val="Arial"/>
      <family val="2"/>
    </font>
    <font>
      <b/>
      <sz val="9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1"/>
      <color indexed="8"/>
      <name val="Calibri"/>
      <family val="2"/>
    </font>
    <font>
      <sz val="14"/>
      <name val="Arial"/>
      <family val="2"/>
    </font>
    <font>
      <b/>
      <sz val="10"/>
      <color indexed="12"/>
      <name val="Arial"/>
      <family val="2"/>
    </font>
    <font>
      <sz val="18"/>
      <color theme="1"/>
      <name val="Calibri"/>
      <family val="2"/>
      <scheme val="minor"/>
    </font>
    <font>
      <sz val="16"/>
      <name val="Arial"/>
      <family val="2"/>
    </font>
    <font>
      <sz val="18"/>
      <color theme="1"/>
      <name val="Calibri"/>
      <family val="2"/>
      <charset val="1"/>
      <scheme val="minor"/>
    </font>
    <font>
      <b/>
      <sz val="15"/>
      <color theme="3"/>
      <name val="Calibri"/>
      <family val="2"/>
      <scheme val="minor"/>
    </font>
    <font>
      <b/>
      <sz val="15"/>
      <color theme="3" tint="-0.249977111117893"/>
      <name val="Times New Roman"/>
      <family val="1"/>
    </font>
    <font>
      <b/>
      <sz val="12"/>
      <color theme="3"/>
      <name val="Times New Roman"/>
      <family val="1"/>
    </font>
    <font>
      <sz val="11"/>
      <color theme="1"/>
      <name val="Times New Roman"/>
      <family val="1"/>
    </font>
    <font>
      <sz val="11"/>
      <color rgb="FF0070C0"/>
      <name val="Times New Roman"/>
      <family val="1"/>
    </font>
    <font>
      <sz val="11"/>
      <color rgb="FFFF0000"/>
      <name val="Times New Roman"/>
      <family val="1"/>
    </font>
    <font>
      <sz val="11"/>
      <color rgb="FF00B05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u val="singleAccounting"/>
      <sz val="11"/>
      <color theme="1"/>
      <name val="Times New Roman"/>
      <family val="1"/>
    </font>
    <font>
      <b/>
      <u val="singleAccounting"/>
      <sz val="11"/>
      <color theme="1"/>
      <name val="Times New Roman"/>
      <family val="1"/>
    </font>
    <font>
      <u val="singleAccounting"/>
      <sz val="11"/>
      <color rgb="FF000000"/>
      <name val="Times New Roman"/>
      <family val="1"/>
    </font>
    <font>
      <sz val="14"/>
      <color theme="1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gray125">
        <fgColor indexed="10"/>
        <bgColor indexed="13"/>
      </patternFill>
    </fill>
    <fill>
      <patternFill patternType="solid">
        <fgColor indexed="43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4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6B2E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5A5A5"/>
      </patternFill>
    </fill>
  </fills>
  <borders count="5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indexed="20"/>
      </top>
      <bottom style="thin">
        <color indexed="20"/>
      </bottom>
      <diagonal/>
    </border>
    <border>
      <left/>
      <right/>
      <top style="thin">
        <color indexed="20"/>
      </top>
      <bottom style="thick">
        <color indexed="20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double">
        <color rgb="FF92D05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1">
    <xf numFmtId="0" fontId="0" fillId="0" borderId="0"/>
    <xf numFmtId="166" fontId="12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6" fillId="2" borderId="1"/>
    <xf numFmtId="0" fontId="1" fillId="0" borderId="0"/>
    <xf numFmtId="0" fontId="13" fillId="0" borderId="0"/>
    <xf numFmtId="0" fontId="22" fillId="0" borderId="0"/>
    <xf numFmtId="0" fontId="22" fillId="0" borderId="0"/>
    <xf numFmtId="0" fontId="13" fillId="0" borderId="0"/>
    <xf numFmtId="0" fontId="13" fillId="0" borderId="0"/>
    <xf numFmtId="9" fontId="12" fillId="0" borderId="0" applyFont="0" applyFill="0" applyBorder="0" applyAlignment="0" applyProtection="0"/>
    <xf numFmtId="0" fontId="2" fillId="0" borderId="0" applyNumberFormat="0" applyFont="0" applyFill="0" applyBorder="0" applyAlignment="0" applyProtection="0">
      <alignment horizontal="left"/>
    </xf>
    <xf numFmtId="0" fontId="1" fillId="0" borderId="0"/>
    <xf numFmtId="0" fontId="1" fillId="3" borderId="0"/>
    <xf numFmtId="0" fontId="2" fillId="0" borderId="0"/>
    <xf numFmtId="0" fontId="24" fillId="14" borderId="0" applyBorder="0" applyAlignment="0" applyProtection="0"/>
    <xf numFmtId="166" fontId="21" fillId="0" borderId="0" applyFont="0" applyFill="0" applyBorder="0" applyAlignment="0" applyProtection="0"/>
    <xf numFmtId="0" fontId="25" fillId="15" borderId="15"/>
    <xf numFmtId="9" fontId="26" fillId="16" borderId="2"/>
    <xf numFmtId="0" fontId="1" fillId="0" borderId="0"/>
    <xf numFmtId="0" fontId="12" fillId="0" borderId="0"/>
    <xf numFmtId="0" fontId="21" fillId="0" borderId="0"/>
    <xf numFmtId="9" fontId="1" fillId="0" borderId="0" applyFont="0" applyFill="0" applyBorder="0" applyAlignment="0" applyProtection="0"/>
    <xf numFmtId="170" fontId="27" fillId="0" borderId="36"/>
    <xf numFmtId="0" fontId="28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 applyNumberFormat="0" applyFill="0" applyBorder="0" applyAlignment="0" applyProtection="0"/>
    <xf numFmtId="3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2" fontId="1" fillId="0" borderId="0" applyFont="0" applyFill="0" applyBorder="0" applyAlignment="0" applyProtection="0"/>
    <xf numFmtId="2" fontId="1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12" fillId="0" borderId="0"/>
    <xf numFmtId="0" fontId="12" fillId="0" borderId="0"/>
    <xf numFmtId="0" fontId="30" fillId="0" borderId="0"/>
    <xf numFmtId="9" fontId="30" fillId="0" borderId="0" applyFont="0" applyFill="0" applyBorder="0" applyAlignment="0" applyProtection="0"/>
    <xf numFmtId="0" fontId="21" fillId="0" borderId="0"/>
    <xf numFmtId="0" fontId="33" fillId="0" borderId="0"/>
    <xf numFmtId="0" fontId="21" fillId="0" borderId="0"/>
    <xf numFmtId="9" fontId="21" fillId="0" borderId="0" applyFont="0" applyFill="0" applyBorder="0" applyAlignment="0" applyProtection="0"/>
    <xf numFmtId="0" fontId="1" fillId="0" borderId="0"/>
    <xf numFmtId="165" fontId="21" fillId="0" borderId="0" applyFont="0" applyFill="0" applyBorder="0" applyAlignment="0" applyProtection="0"/>
    <xf numFmtId="0" fontId="43" fillId="0" borderId="52" applyNumberFormat="0" applyFill="0" applyAlignment="0" applyProtection="0"/>
    <xf numFmtId="166" fontId="51" fillId="0" borderId="0" applyFont="0" applyFill="0" applyBorder="0" applyAlignment="0" applyProtection="0"/>
    <xf numFmtId="0" fontId="31" fillId="28" borderId="53" applyNumberFormat="0" applyAlignment="0" applyProtection="0"/>
  </cellStyleXfs>
  <cellXfs count="282">
    <xf numFmtId="0" fontId="0" fillId="0" borderId="0" xfId="0"/>
    <xf numFmtId="0" fontId="1" fillId="0" borderId="0" xfId="4"/>
    <xf numFmtId="14" fontId="1" fillId="0" borderId="0" xfId="4" applyNumberFormat="1"/>
    <xf numFmtId="22" fontId="1" fillId="0" borderId="0" xfId="4" applyNumberFormat="1"/>
    <xf numFmtId="0" fontId="1" fillId="0" borderId="2" xfId="0" applyFont="1" applyBorder="1"/>
    <xf numFmtId="0" fontId="1" fillId="0" borderId="0" xfId="0" applyFont="1"/>
    <xf numFmtId="0" fontId="1" fillId="0" borderId="2" xfId="0" applyFont="1" applyBorder="1" applyAlignment="1" applyProtection="1">
      <alignment horizontal="center"/>
      <protection locked="0"/>
    </xf>
    <xf numFmtId="0" fontId="1" fillId="0" borderId="2" xfId="0" applyFont="1" applyBorder="1" applyAlignment="1">
      <alignment horizontal="center"/>
    </xf>
    <xf numFmtId="0" fontId="4" fillId="4" borderId="2" xfId="4" applyFont="1" applyFill="1" applyBorder="1" applyAlignment="1">
      <alignment horizontal="center"/>
    </xf>
    <xf numFmtId="0" fontId="4" fillId="4" borderId="3" xfId="4" applyFont="1" applyFill="1" applyBorder="1" applyAlignment="1">
      <alignment horizontal="center"/>
    </xf>
    <xf numFmtId="0" fontId="1" fillId="0" borderId="2" xfId="4" applyBorder="1" applyProtection="1">
      <protection locked="0"/>
    </xf>
    <xf numFmtId="0" fontId="1" fillId="0" borderId="0" xfId="4" applyProtection="1">
      <protection locked="0"/>
    </xf>
    <xf numFmtId="1" fontId="1" fillId="0" borderId="0" xfId="4" applyNumberFormat="1" applyAlignment="1">
      <alignment horizontal="center"/>
    </xf>
    <xf numFmtId="15" fontId="1" fillId="0" borderId="0" xfId="4" applyNumberFormat="1" applyAlignment="1">
      <alignment horizontal="center"/>
    </xf>
    <xf numFmtId="1" fontId="3" fillId="0" borderId="0" xfId="4" applyNumberFormat="1" applyFont="1" applyAlignment="1">
      <alignment horizontal="center"/>
    </xf>
    <xf numFmtId="1" fontId="1" fillId="0" borderId="0" xfId="4" applyNumberFormat="1"/>
    <xf numFmtId="0" fontId="1" fillId="0" borderId="0" xfId="4" quotePrefix="1"/>
    <xf numFmtId="0" fontId="3" fillId="5" borderId="1" xfId="4" applyFont="1" applyFill="1" applyBorder="1"/>
    <xf numFmtId="0" fontId="3" fillId="5" borderId="4" xfId="4" applyFont="1" applyFill="1" applyBorder="1"/>
    <xf numFmtId="0" fontId="5" fillId="6" borderId="5" xfId="4" applyFont="1" applyFill="1" applyBorder="1" applyAlignment="1">
      <alignment horizontal="center"/>
    </xf>
    <xf numFmtId="0" fontId="5" fillId="6" borderId="6" xfId="4" applyFont="1" applyFill="1" applyBorder="1" applyAlignment="1">
      <alignment horizontal="center"/>
    </xf>
    <xf numFmtId="0" fontId="1" fillId="0" borderId="7" xfId="4" applyBorder="1"/>
    <xf numFmtId="0" fontId="6" fillId="0" borderId="0" xfId="4" applyFont="1"/>
    <xf numFmtId="0" fontId="1" fillId="5" borderId="2" xfId="4" applyFill="1" applyBorder="1" applyAlignment="1">
      <alignment horizontal="center"/>
    </xf>
    <xf numFmtId="15" fontId="1" fillId="5" borderId="2" xfId="4" applyNumberFormat="1" applyFill="1" applyBorder="1" applyAlignment="1">
      <alignment horizontal="center"/>
    </xf>
    <xf numFmtId="22" fontId="1" fillId="0" borderId="0" xfId="4" applyNumberFormat="1" applyAlignment="1">
      <alignment wrapText="1"/>
    </xf>
    <xf numFmtId="15" fontId="1" fillId="0" borderId="0" xfId="4" applyNumberFormat="1"/>
    <xf numFmtId="14" fontId="1" fillId="0" borderId="0" xfId="4" applyNumberFormat="1" applyAlignment="1">
      <alignment wrapText="1"/>
    </xf>
    <xf numFmtId="167" fontId="1" fillId="0" borderId="0" xfId="4" applyNumberFormat="1"/>
    <xf numFmtId="0" fontId="5" fillId="6" borderId="2" xfId="4" applyFont="1" applyFill="1" applyBorder="1" applyAlignment="1">
      <alignment horizontal="center"/>
    </xf>
    <xf numFmtId="0" fontId="3" fillId="5" borderId="4" xfId="4" applyFont="1" applyFill="1" applyBorder="1" applyAlignment="1">
      <alignment horizontal="left"/>
    </xf>
    <xf numFmtId="0" fontId="5" fillId="6" borderId="8" xfId="4" applyFont="1" applyFill="1" applyBorder="1" applyAlignment="1">
      <alignment horizontal="center"/>
    </xf>
    <xf numFmtId="0" fontId="7" fillId="0" borderId="0" xfId="4" applyFont="1"/>
    <xf numFmtId="0" fontId="1" fillId="7" borderId="7" xfId="4" applyFill="1" applyBorder="1" applyAlignment="1">
      <alignment horizontal="center"/>
    </xf>
    <xf numFmtId="0" fontId="1" fillId="7" borderId="3" xfId="4" applyFill="1" applyBorder="1"/>
    <xf numFmtId="0" fontId="1" fillId="7" borderId="3" xfId="4" applyFill="1" applyBorder="1" applyAlignment="1">
      <alignment horizontal="center"/>
    </xf>
    <xf numFmtId="15" fontId="1" fillId="7" borderId="3" xfId="4" applyNumberFormat="1" applyFill="1" applyBorder="1"/>
    <xf numFmtId="4" fontId="1" fillId="7" borderId="3" xfId="4" applyNumberFormat="1" applyFill="1" applyBorder="1" applyProtection="1">
      <protection locked="0"/>
    </xf>
    <xf numFmtId="4" fontId="1" fillId="0" borderId="0" xfId="4" applyNumberFormat="1"/>
    <xf numFmtId="166" fontId="1" fillId="0" borderId="0" xfId="2"/>
    <xf numFmtId="166" fontId="1" fillId="0" borderId="0" xfId="4" applyNumberFormat="1"/>
    <xf numFmtId="4" fontId="1" fillId="0" borderId="0" xfId="4" applyNumberFormat="1" applyAlignment="1">
      <alignment horizontal="right"/>
    </xf>
    <xf numFmtId="4" fontId="1" fillId="7" borderId="3" xfId="4" applyNumberFormat="1" applyFill="1" applyBorder="1" applyAlignment="1" applyProtection="1">
      <alignment horizontal="right"/>
      <protection locked="0"/>
    </xf>
    <xf numFmtId="0" fontId="1" fillId="0" borderId="0" xfId="4" applyProtection="1">
      <protection hidden="1"/>
    </xf>
    <xf numFmtId="0" fontId="1" fillId="8" borderId="9" xfId="4" applyFill="1" applyBorder="1" applyProtection="1">
      <protection hidden="1"/>
    </xf>
    <xf numFmtId="0" fontId="1" fillId="8" borderId="10" xfId="4" applyFill="1" applyBorder="1" applyProtection="1">
      <protection hidden="1"/>
    </xf>
    <xf numFmtId="0" fontId="1" fillId="8" borderId="11" xfId="4" applyFill="1" applyBorder="1" applyProtection="1">
      <protection hidden="1"/>
    </xf>
    <xf numFmtId="0" fontId="1" fillId="8" borderId="12" xfId="4" applyFill="1" applyBorder="1" applyProtection="1">
      <protection hidden="1"/>
    </xf>
    <xf numFmtId="9" fontId="1" fillId="8" borderId="12" xfId="4" applyNumberFormat="1" applyFill="1" applyBorder="1" applyProtection="1">
      <protection hidden="1"/>
    </xf>
    <xf numFmtId="0" fontId="1" fillId="8" borderId="13" xfId="4" applyFill="1" applyBorder="1" applyProtection="1">
      <protection hidden="1"/>
    </xf>
    <xf numFmtId="0" fontId="1" fillId="8" borderId="14" xfId="4" applyFill="1" applyBorder="1" applyProtection="1">
      <protection hidden="1"/>
    </xf>
    <xf numFmtId="0" fontId="9" fillId="9" borderId="15" xfId="4" applyFont="1" applyFill="1" applyBorder="1" applyProtection="1">
      <protection hidden="1"/>
    </xf>
    <xf numFmtId="0" fontId="10" fillId="0" borderId="0" xfId="4" applyFont="1" applyAlignment="1" applyProtection="1">
      <alignment horizontal="left" indent="2"/>
      <protection hidden="1"/>
    </xf>
    <xf numFmtId="0" fontId="3" fillId="0" borderId="0" xfId="4" applyFont="1" applyProtection="1">
      <protection hidden="1"/>
    </xf>
    <xf numFmtId="9" fontId="0" fillId="0" borderId="0" xfId="0" applyNumberFormat="1"/>
    <xf numFmtId="164" fontId="0" fillId="0" borderId="0" xfId="0" applyNumberFormat="1"/>
    <xf numFmtId="10" fontId="0" fillId="0" borderId="0" xfId="0" applyNumberFormat="1"/>
    <xf numFmtId="18" fontId="1" fillId="0" borderId="0" xfId="4" applyNumberFormat="1"/>
    <xf numFmtId="168" fontId="15" fillId="0" borderId="0" xfId="0" applyNumberFormat="1" applyFont="1"/>
    <xf numFmtId="10" fontId="21" fillId="0" borderId="0" xfId="10" applyNumberFormat="1" applyFont="1"/>
    <xf numFmtId="168" fontId="0" fillId="0" borderId="0" xfId="0" applyNumberFormat="1"/>
    <xf numFmtId="0" fontId="17" fillId="0" borderId="16" xfId="9" applyFont="1" applyBorder="1" applyAlignment="1">
      <alignment horizontal="left"/>
    </xf>
    <xf numFmtId="0" fontId="21" fillId="0" borderId="0" xfId="9" applyFont="1" applyAlignment="1">
      <alignment horizontal="left"/>
    </xf>
    <xf numFmtId="166" fontId="21" fillId="0" borderId="0" xfId="9" applyNumberFormat="1" applyFont="1"/>
    <xf numFmtId="0" fontId="21" fillId="0" borderId="16" xfId="9" applyFont="1" applyBorder="1" applyAlignment="1">
      <alignment horizontal="right"/>
    </xf>
    <xf numFmtId="0" fontId="0" fillId="0" borderId="16" xfId="0" applyBorder="1" applyAlignment="1">
      <alignment horizontal="right"/>
    </xf>
    <xf numFmtId="0" fontId="21" fillId="0" borderId="17" xfId="9" applyFont="1" applyBorder="1" applyAlignment="1">
      <alignment horizontal="left"/>
    </xf>
    <xf numFmtId="0" fontId="7" fillId="0" borderId="0" xfId="8" applyFont="1"/>
    <xf numFmtId="15" fontId="13" fillId="0" borderId="0" xfId="8" applyNumberFormat="1"/>
    <xf numFmtId="4" fontId="13" fillId="0" borderId="0" xfId="8" applyNumberFormat="1"/>
    <xf numFmtId="166" fontId="13" fillId="0" borderId="0" xfId="1" applyFont="1"/>
    <xf numFmtId="0" fontId="18" fillId="0" borderId="0" xfId="0" applyFont="1"/>
    <xf numFmtId="0" fontId="3" fillId="0" borderId="18" xfId="0" applyFont="1" applyBorder="1" applyAlignment="1">
      <alignment horizontal="left"/>
    </xf>
    <xf numFmtId="0" fontId="13" fillId="0" borderId="0" xfId="8"/>
    <xf numFmtId="0" fontId="13" fillId="0" borderId="0" xfId="8" applyAlignment="1">
      <alignment vertical="center" wrapText="1"/>
    </xf>
    <xf numFmtId="166" fontId="13" fillId="0" borderId="0" xfId="8" applyNumberFormat="1"/>
    <xf numFmtId="0" fontId="1" fillId="0" borderId="0" xfId="8" applyFont="1"/>
    <xf numFmtId="15" fontId="1" fillId="0" borderId="0" xfId="8" applyNumberFormat="1" applyFont="1"/>
    <xf numFmtId="4" fontId="1" fillId="0" borderId="0" xfId="8" applyNumberFormat="1" applyFont="1"/>
    <xf numFmtId="166" fontId="1" fillId="0" borderId="0" xfId="1" applyFont="1"/>
    <xf numFmtId="166" fontId="1" fillId="0" borderId="0" xfId="8" applyNumberFormat="1" applyFont="1"/>
    <xf numFmtId="166" fontId="21" fillId="0" borderId="0" xfId="1" applyFont="1"/>
    <xf numFmtId="166" fontId="21" fillId="0" borderId="17" xfId="1" applyFont="1" applyBorder="1"/>
    <xf numFmtId="0" fontId="1" fillId="0" borderId="0" xfId="8" applyFont="1" applyAlignment="1">
      <alignment vertical="center" wrapText="1"/>
    </xf>
    <xf numFmtId="0" fontId="23" fillId="13" borderId="0" xfId="0" applyFont="1" applyFill="1"/>
    <xf numFmtId="0" fontId="5" fillId="6" borderId="19" xfId="4" applyFont="1" applyFill="1" applyBorder="1" applyAlignment="1">
      <alignment horizontal="center"/>
    </xf>
    <xf numFmtId="0" fontId="23" fillId="13" borderId="20" xfId="0" applyFont="1" applyFill="1" applyBorder="1"/>
    <xf numFmtId="0" fontId="0" fillId="0" borderId="19" xfId="0" applyBorder="1"/>
    <xf numFmtId="0" fontId="0" fillId="0" borderId="21" xfId="0" applyBorder="1"/>
    <xf numFmtId="0" fontId="23" fillId="13" borderId="22" xfId="0" applyFont="1" applyFill="1" applyBorder="1"/>
    <xf numFmtId="0" fontId="0" fillId="0" borderId="23" xfId="0" applyBorder="1"/>
    <xf numFmtId="0" fontId="0" fillId="0" borderId="24" xfId="0" applyBorder="1"/>
    <xf numFmtId="0" fontId="3" fillId="0" borderId="0" xfId="4" applyFont="1"/>
    <xf numFmtId="0" fontId="5" fillId="6" borderId="22" xfId="4" applyFont="1" applyFill="1" applyBorder="1" applyAlignment="1">
      <alignment horizontal="center"/>
    </xf>
    <xf numFmtId="0" fontId="5" fillId="6" borderId="23" xfId="4" applyFont="1" applyFill="1" applyBorder="1" applyAlignment="1">
      <alignment horizontal="center"/>
    </xf>
    <xf numFmtId="0" fontId="5" fillId="6" borderId="24" xfId="4" applyFont="1" applyFill="1" applyBorder="1" applyAlignment="1">
      <alignment horizontal="center"/>
    </xf>
    <xf numFmtId="0" fontId="1" fillId="7" borderId="27" xfId="4" applyFill="1" applyBorder="1" applyAlignment="1">
      <alignment horizontal="center"/>
    </xf>
    <xf numFmtId="4" fontId="1" fillId="7" borderId="28" xfId="4" applyNumberFormat="1" applyFill="1" applyBorder="1" applyProtection="1">
      <protection locked="0"/>
    </xf>
    <xf numFmtId="4" fontId="1" fillId="7" borderId="28" xfId="4" applyNumberFormat="1" applyFill="1" applyBorder="1" applyAlignment="1" applyProtection="1">
      <alignment horizontal="right"/>
      <protection locked="0"/>
    </xf>
    <xf numFmtId="0" fontId="1" fillId="7" borderId="29" xfId="4" applyFill="1" applyBorder="1" applyAlignment="1">
      <alignment horizontal="center"/>
    </xf>
    <xf numFmtId="0" fontId="1" fillId="7" borderId="30" xfId="4" applyFill="1" applyBorder="1"/>
    <xf numFmtId="0" fontId="1" fillId="7" borderId="30" xfId="4" applyFill="1" applyBorder="1" applyAlignment="1">
      <alignment horizontal="center"/>
    </xf>
    <xf numFmtId="15" fontId="1" fillId="7" borderId="30" xfId="4" applyNumberFormat="1" applyFill="1" applyBorder="1"/>
    <xf numFmtId="4" fontId="1" fillId="7" borderId="30" xfId="4" applyNumberFormat="1" applyFill="1" applyBorder="1" applyProtection="1">
      <protection locked="0"/>
    </xf>
    <xf numFmtId="4" fontId="1" fillId="7" borderId="25" xfId="4" applyNumberFormat="1" applyFill="1" applyBorder="1" applyProtection="1">
      <protection locked="0"/>
    </xf>
    <xf numFmtId="0" fontId="20" fillId="12" borderId="22" xfId="6" applyFont="1" applyFill="1" applyBorder="1"/>
    <xf numFmtId="0" fontId="20" fillId="12" borderId="23" xfId="6" applyFont="1" applyFill="1" applyBorder="1"/>
    <xf numFmtId="0" fontId="20" fillId="12" borderId="24" xfId="6" applyFont="1" applyFill="1" applyBorder="1"/>
    <xf numFmtId="0" fontId="22" fillId="0" borderId="31" xfId="6" applyBorder="1"/>
    <xf numFmtId="1" fontId="22" fillId="0" borderId="0" xfId="6" applyNumberFormat="1"/>
    <xf numFmtId="1" fontId="22" fillId="0" borderId="32" xfId="6" applyNumberFormat="1" applyBorder="1"/>
    <xf numFmtId="0" fontId="22" fillId="0" borderId="20" xfId="6" applyBorder="1"/>
    <xf numFmtId="1" fontId="22" fillId="0" borderId="19" xfId="6" applyNumberFormat="1" applyBorder="1"/>
    <xf numFmtId="1" fontId="22" fillId="0" borderId="21" xfId="6" applyNumberFormat="1" applyBorder="1"/>
    <xf numFmtId="0" fontId="22" fillId="0" borderId="0" xfId="6"/>
    <xf numFmtId="0" fontId="22" fillId="0" borderId="19" xfId="6" applyBorder="1"/>
    <xf numFmtId="0" fontId="22" fillId="11" borderId="0" xfId="6" applyFill="1"/>
    <xf numFmtId="0" fontId="1" fillId="0" borderId="0" xfId="4" applyAlignment="1">
      <alignment horizontal="center"/>
    </xf>
    <xf numFmtId="0" fontId="1" fillId="0" borderId="26" xfId="4" applyBorder="1" applyAlignment="1">
      <alignment horizontal="center"/>
    </xf>
    <xf numFmtId="0" fontId="1" fillId="0" borderId="3" xfId="4" applyBorder="1" applyAlignment="1">
      <alignment horizontal="center"/>
    </xf>
    <xf numFmtId="0" fontId="1" fillId="0" borderId="40" xfId="4" applyBorder="1" applyAlignment="1">
      <alignment horizontal="center"/>
    </xf>
    <xf numFmtId="0" fontId="7" fillId="10" borderId="2" xfId="4" applyFont="1" applyFill="1" applyBorder="1" applyAlignment="1">
      <alignment horizontal="center"/>
    </xf>
    <xf numFmtId="0" fontId="7" fillId="10" borderId="2" xfId="4" applyFont="1" applyFill="1" applyBorder="1" applyAlignment="1">
      <alignment horizontal="center" wrapText="1"/>
    </xf>
    <xf numFmtId="9" fontId="1" fillId="0" borderId="0" xfId="4" applyNumberFormat="1" applyAlignment="1">
      <alignment horizontal="center"/>
    </xf>
    <xf numFmtId="0" fontId="1" fillId="0" borderId="2" xfId="4" applyBorder="1" applyAlignment="1">
      <alignment horizontal="center"/>
    </xf>
    <xf numFmtId="0" fontId="1" fillId="0" borderId="0" xfId="8" applyFont="1" applyAlignment="1">
      <alignment wrapText="1"/>
    </xf>
    <xf numFmtId="0" fontId="28" fillId="0" borderId="0" xfId="24" applyAlignment="1" applyProtection="1"/>
    <xf numFmtId="0" fontId="1" fillId="0" borderId="0" xfId="25"/>
    <xf numFmtId="0" fontId="3" fillId="0" borderId="0" xfId="25" applyFont="1"/>
    <xf numFmtId="0" fontId="25" fillId="11" borderId="41" xfId="25" applyFont="1" applyFill="1" applyBorder="1" applyAlignment="1">
      <alignment horizontal="center" vertical="center" wrapText="1"/>
    </xf>
    <xf numFmtId="0" fontId="25" fillId="11" borderId="42" xfId="25" applyFont="1" applyFill="1" applyBorder="1" applyAlignment="1">
      <alignment horizontal="center" vertical="center" wrapText="1"/>
    </xf>
    <xf numFmtId="0" fontId="25" fillId="11" borderId="43" xfId="25" applyFont="1" applyFill="1" applyBorder="1" applyAlignment="1">
      <alignment horizontal="center" vertical="center" wrapText="1"/>
    </xf>
    <xf numFmtId="0" fontId="25" fillId="11" borderId="43" xfId="25" applyFont="1" applyFill="1" applyBorder="1" applyAlignment="1">
      <alignment horizontal="center"/>
    </xf>
    <xf numFmtId="0" fontId="25" fillId="11" borderId="41" xfId="25" applyFont="1" applyFill="1" applyBorder="1" applyAlignment="1">
      <alignment horizontal="center" wrapText="1"/>
    </xf>
    <xf numFmtId="0" fontId="25" fillId="11" borderId="42" xfId="25" applyFont="1" applyFill="1" applyBorder="1" applyAlignment="1">
      <alignment horizontal="center" wrapText="1"/>
    </xf>
    <xf numFmtId="0" fontId="1" fillId="0" borderId="27" xfId="25" applyBorder="1"/>
    <xf numFmtId="0" fontId="1" fillId="0" borderId="3" xfId="25" applyBorder="1"/>
    <xf numFmtId="0" fontId="1" fillId="0" borderId="44" xfId="25" applyBorder="1"/>
    <xf numFmtId="0" fontId="1" fillId="0" borderId="45" xfId="25" applyBorder="1"/>
    <xf numFmtId="2" fontId="1" fillId="0" borderId="26" xfId="25" applyNumberFormat="1" applyBorder="1"/>
    <xf numFmtId="0" fontId="1" fillId="0" borderId="12" xfId="25" applyBorder="1"/>
    <xf numFmtId="0" fontId="1" fillId="0" borderId="11" xfId="25" applyBorder="1"/>
    <xf numFmtId="2" fontId="1" fillId="0" borderId="2" xfId="25" applyNumberFormat="1" applyBorder="1"/>
    <xf numFmtId="0" fontId="1" fillId="0" borderId="14" xfId="25" applyBorder="1"/>
    <xf numFmtId="0" fontId="1" fillId="0" borderId="13" xfId="25" applyBorder="1"/>
    <xf numFmtId="2" fontId="1" fillId="0" borderId="46" xfId="25" applyNumberFormat="1" applyBorder="1"/>
    <xf numFmtId="0" fontId="3" fillId="0" borderId="0" xfId="25" applyFont="1" applyAlignment="1">
      <alignment vertical="top" wrapText="1"/>
    </xf>
    <xf numFmtId="0" fontId="1" fillId="0" borderId="0" xfId="26"/>
    <xf numFmtId="0" fontId="1" fillId="0" borderId="29" xfId="25" applyBorder="1"/>
    <xf numFmtId="0" fontId="1" fillId="0" borderId="30" xfId="25" applyBorder="1"/>
    <xf numFmtId="0" fontId="29" fillId="0" borderId="47" xfId="0" applyFont="1" applyBorder="1" applyAlignment="1">
      <alignment horizontal="center"/>
    </xf>
    <xf numFmtId="0" fontId="9" fillId="0" borderId="39" xfId="0" applyFont="1" applyBorder="1" applyAlignment="1">
      <alignment horizontal="center"/>
    </xf>
    <xf numFmtId="0" fontId="9" fillId="0" borderId="48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38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0" fillId="17" borderId="2" xfId="0" applyFill="1" applyBorder="1"/>
    <xf numFmtId="0" fontId="0" fillId="0" borderId="0" xfId="0" applyAlignment="1">
      <alignment vertical="center"/>
    </xf>
    <xf numFmtId="0" fontId="31" fillId="18" borderId="0" xfId="0" applyFont="1" applyFill="1" applyAlignment="1">
      <alignment horizontal="center"/>
    </xf>
    <xf numFmtId="0" fontId="24" fillId="19" borderId="1" xfId="42" applyFont="1" applyFill="1" applyBorder="1"/>
    <xf numFmtId="0" fontId="24" fillId="19" borderId="37" xfId="42" applyFont="1" applyFill="1" applyBorder="1"/>
    <xf numFmtId="0" fontId="24" fillId="19" borderId="4" xfId="42" applyFont="1" applyFill="1" applyBorder="1"/>
    <xf numFmtId="0" fontId="21" fillId="0" borderId="0" xfId="42"/>
    <xf numFmtId="0" fontId="21" fillId="20" borderId="1" xfId="42" applyFill="1" applyBorder="1" applyAlignment="1">
      <alignment horizontal="centerContinuous" wrapText="1"/>
    </xf>
    <xf numFmtId="0" fontId="21" fillId="20" borderId="37" xfId="42" applyFill="1" applyBorder="1" applyAlignment="1">
      <alignment horizontal="centerContinuous" wrapText="1"/>
    </xf>
    <xf numFmtId="0" fontId="21" fillId="20" borderId="4" xfId="42" applyFill="1" applyBorder="1" applyAlignment="1">
      <alignment horizontal="centerContinuous" wrapText="1"/>
    </xf>
    <xf numFmtId="14" fontId="21" fillId="0" borderId="0" xfId="42" applyNumberFormat="1"/>
    <xf numFmtId="0" fontId="24" fillId="21" borderId="2" xfId="42" applyFont="1" applyFill="1" applyBorder="1"/>
    <xf numFmtId="0" fontId="32" fillId="0" borderId="2" xfId="42" applyFont="1" applyBorder="1"/>
    <xf numFmtId="14" fontId="32" fillId="0" borderId="2" xfId="42" applyNumberFormat="1" applyFont="1" applyBorder="1"/>
    <xf numFmtId="164" fontId="32" fillId="0" borderId="2" xfId="42" applyNumberFormat="1" applyFont="1" applyBorder="1"/>
    <xf numFmtId="4" fontId="32" fillId="0" borderId="2" xfId="42" applyNumberFormat="1" applyFont="1" applyBorder="1"/>
    <xf numFmtId="0" fontId="21" fillId="0" borderId="2" xfId="42" applyBorder="1"/>
    <xf numFmtId="164" fontId="21" fillId="0" borderId="0" xfId="42" applyNumberFormat="1"/>
    <xf numFmtId="0" fontId="32" fillId="0" borderId="0" xfId="42" applyFont="1" applyAlignment="1">
      <alignment horizontal="center"/>
    </xf>
    <xf numFmtId="0" fontId="33" fillId="0" borderId="0" xfId="43"/>
    <xf numFmtId="0" fontId="34" fillId="22" borderId="49" xfId="42" applyFont="1" applyFill="1" applyBorder="1" applyAlignment="1">
      <alignment horizontal="center" vertical="center"/>
    </xf>
    <xf numFmtId="0" fontId="34" fillId="22" borderId="50" xfId="42" applyFont="1" applyFill="1" applyBorder="1" applyAlignment="1">
      <alignment horizontal="center" vertical="center"/>
    </xf>
    <xf numFmtId="0" fontId="34" fillId="22" borderId="51" xfId="42" applyFont="1" applyFill="1" applyBorder="1" applyAlignment="1">
      <alignment horizontal="center" vertical="center"/>
    </xf>
    <xf numFmtId="0" fontId="34" fillId="22" borderId="40" xfId="42" applyFont="1" applyFill="1" applyBorder="1" applyAlignment="1">
      <alignment horizontal="center" vertical="center" wrapText="1"/>
    </xf>
    <xf numFmtId="0" fontId="35" fillId="23" borderId="40" xfId="42" applyFont="1" applyFill="1" applyBorder="1" applyAlignment="1">
      <alignment horizontal="center" wrapText="1"/>
    </xf>
    <xf numFmtId="0" fontId="24" fillId="23" borderId="40" xfId="42" applyFont="1" applyFill="1" applyBorder="1" applyAlignment="1">
      <alignment horizontal="center"/>
    </xf>
    <xf numFmtId="0" fontId="32" fillId="0" borderId="2" xfId="42" applyFont="1" applyBorder="1" applyAlignment="1">
      <alignment horizontal="center"/>
    </xf>
    <xf numFmtId="0" fontId="32" fillId="0" borderId="2" xfId="42" applyFont="1" applyBorder="1" applyAlignment="1">
      <alignment horizontal="center" vertical="center"/>
    </xf>
    <xf numFmtId="0" fontId="36" fillId="0" borderId="2" xfId="44" applyFont="1" applyBorder="1" applyAlignment="1">
      <alignment horizontal="center"/>
    </xf>
    <xf numFmtId="0" fontId="37" fillId="0" borderId="2" xfId="44" applyFont="1" applyBorder="1" applyAlignment="1">
      <alignment horizontal="center"/>
    </xf>
    <xf numFmtId="0" fontId="34" fillId="22" borderId="51" xfId="42" applyFont="1" applyFill="1" applyBorder="1" applyAlignment="1">
      <alignment vertical="center"/>
    </xf>
    <xf numFmtId="0" fontId="37" fillId="0" borderId="2" xfId="44" applyFont="1" applyBorder="1"/>
    <xf numFmtId="0" fontId="32" fillId="0" borderId="0" xfId="42" applyFont="1"/>
    <xf numFmtId="0" fontId="32" fillId="0" borderId="2" xfId="42" applyFont="1" applyBorder="1" applyAlignment="1">
      <alignment horizontal="center" wrapText="1"/>
    </xf>
    <xf numFmtId="9" fontId="0" fillId="0" borderId="0" xfId="10" applyFont="1"/>
    <xf numFmtId="0" fontId="38" fillId="5" borderId="2" xfId="4" applyFont="1" applyFill="1" applyBorder="1" applyAlignment="1">
      <alignment horizontal="center"/>
    </xf>
    <xf numFmtId="0" fontId="24" fillId="24" borderId="2" xfId="0" applyFont="1" applyFill="1" applyBorder="1"/>
    <xf numFmtId="0" fontId="0" fillId="0" borderId="2" xfId="0" applyBorder="1"/>
    <xf numFmtId="172" fontId="0" fillId="0" borderId="2" xfId="0" applyNumberFormat="1" applyBorder="1"/>
    <xf numFmtId="0" fontId="1" fillId="0" borderId="0" xfId="46"/>
    <xf numFmtId="2" fontId="1" fillId="0" borderId="0" xfId="46" applyNumberFormat="1"/>
    <xf numFmtId="0" fontId="3" fillId="3" borderId="2" xfId="46" applyFont="1" applyFill="1" applyBorder="1" applyAlignment="1">
      <alignment horizontal="center"/>
    </xf>
    <xf numFmtId="0" fontId="39" fillId="25" borderId="2" xfId="46" applyFont="1" applyFill="1" applyBorder="1" applyAlignment="1">
      <alignment horizontal="center"/>
    </xf>
    <xf numFmtId="0" fontId="1" fillId="3" borderId="2" xfId="46" applyFill="1" applyBorder="1" applyAlignment="1">
      <alignment horizontal="left"/>
    </xf>
    <xf numFmtId="0" fontId="1" fillId="3" borderId="2" xfId="46" applyFill="1" applyBorder="1" applyAlignment="1">
      <alignment horizontal="center"/>
    </xf>
    <xf numFmtId="0" fontId="3" fillId="26" borderId="2" xfId="46" applyFont="1" applyFill="1" applyBorder="1" applyAlignment="1">
      <alignment horizontal="center"/>
    </xf>
    <xf numFmtId="4" fontId="1" fillId="26" borderId="2" xfId="46" applyNumberFormat="1" applyFill="1" applyBorder="1" applyAlignment="1">
      <alignment horizontal="center"/>
    </xf>
    <xf numFmtId="0" fontId="2" fillId="0" borderId="0" xfId="14"/>
    <xf numFmtId="0" fontId="3" fillId="26" borderId="2" xfId="46" applyFont="1" applyFill="1" applyBorder="1" applyAlignment="1">
      <alignment horizontal="center" vertical="center"/>
    </xf>
    <xf numFmtId="15" fontId="1" fillId="0" borderId="0" xfId="46" applyNumberFormat="1"/>
    <xf numFmtId="0" fontId="41" fillId="0" borderId="3" xfId="25" applyFont="1" applyBorder="1" applyAlignment="1">
      <alignment horizontal="center"/>
    </xf>
    <xf numFmtId="0" fontId="42" fillId="0" borderId="0" xfId="43" applyFont="1"/>
    <xf numFmtId="0" fontId="40" fillId="0" borderId="2" xfId="0" applyFont="1" applyBorder="1"/>
    <xf numFmtId="0" fontId="3" fillId="26" borderId="2" xfId="46" applyFont="1" applyFill="1" applyBorder="1" applyAlignment="1">
      <alignment horizontal="left" vertical="center"/>
    </xf>
    <xf numFmtId="0" fontId="1" fillId="0" borderId="0" xfId="4" applyAlignment="1">
      <alignment horizontal="left"/>
    </xf>
    <xf numFmtId="0" fontId="9" fillId="0" borderId="0" xfId="8" applyFont="1" applyAlignment="1">
      <alignment wrapText="1"/>
    </xf>
    <xf numFmtId="0" fontId="23" fillId="0" borderId="0" xfId="43" applyFont="1"/>
    <xf numFmtId="0" fontId="44" fillId="0" borderId="52" xfId="48" applyFont="1" applyAlignment="1">
      <alignment vertical="center"/>
    </xf>
    <xf numFmtId="0" fontId="45" fillId="0" borderId="52" xfId="48" applyFont="1" applyAlignment="1">
      <alignment horizontal="right" vertical="center"/>
    </xf>
    <xf numFmtId="0" fontId="45" fillId="0" borderId="0" xfId="48" applyFont="1" applyBorder="1" applyAlignment="1">
      <alignment horizontal="right" vertical="center"/>
    </xf>
    <xf numFmtId="0" fontId="46" fillId="0" borderId="0" xfId="4" applyFont="1"/>
    <xf numFmtId="0" fontId="46" fillId="0" borderId="0" xfId="4" quotePrefix="1" applyFont="1"/>
    <xf numFmtId="0" fontId="47" fillId="0" borderId="0" xfId="4" applyFont="1"/>
    <xf numFmtId="0" fontId="48" fillId="0" borderId="0" xfId="4" applyFont="1"/>
    <xf numFmtId="0" fontId="49" fillId="0" borderId="0" xfId="4" applyFont="1"/>
    <xf numFmtId="0" fontId="46" fillId="0" borderId="0" xfId="4" applyFont="1" applyAlignment="1">
      <alignment horizontal="center"/>
    </xf>
    <xf numFmtId="0" fontId="50" fillId="0" borderId="0" xfId="4" applyFont="1" applyAlignment="1">
      <alignment horizontal="center"/>
    </xf>
    <xf numFmtId="0" fontId="46" fillId="27" borderId="0" xfId="4" applyFont="1" applyFill="1" applyAlignment="1">
      <alignment horizontal="left"/>
    </xf>
    <xf numFmtId="0" fontId="46" fillId="0" borderId="0" xfId="4" applyFont="1" applyAlignment="1">
      <alignment horizontal="right"/>
    </xf>
    <xf numFmtId="0" fontId="46" fillId="0" borderId="0" xfId="4" applyFont="1" applyAlignment="1">
      <alignment horizontal="left"/>
    </xf>
    <xf numFmtId="0" fontId="46" fillId="27" borderId="0" xfId="4" applyFont="1" applyFill="1"/>
    <xf numFmtId="0" fontId="52" fillId="0" borderId="0" xfId="39" applyFont="1" applyAlignment="1">
      <alignment horizontal="center"/>
    </xf>
    <xf numFmtId="0" fontId="52" fillId="0" borderId="0" xfId="39" applyFont="1"/>
    <xf numFmtId="0" fontId="46" fillId="0" borderId="0" xfId="39" applyFont="1" applyAlignment="1">
      <alignment horizontal="left" indent="1"/>
    </xf>
    <xf numFmtId="0" fontId="46" fillId="0" borderId="0" xfId="39" applyFont="1"/>
    <xf numFmtId="173" fontId="46" fillId="0" borderId="0" xfId="49" applyNumberFormat="1" applyFont="1"/>
    <xf numFmtId="174" fontId="46" fillId="0" borderId="0" xfId="49" applyNumberFormat="1" applyFont="1"/>
    <xf numFmtId="174" fontId="46" fillId="27" borderId="2" xfId="39" applyNumberFormat="1" applyFont="1" applyFill="1" applyBorder="1"/>
    <xf numFmtId="173" fontId="46" fillId="27" borderId="2" xfId="49" applyNumberFormat="1" applyFont="1" applyFill="1" applyBorder="1"/>
    <xf numFmtId="0" fontId="53" fillId="0" borderId="0" xfId="39" applyFont="1" applyAlignment="1">
      <alignment horizontal="centerContinuous"/>
    </xf>
    <xf numFmtId="0" fontId="52" fillId="0" borderId="0" xfId="39" applyFont="1" applyAlignment="1">
      <alignment horizontal="centerContinuous"/>
    </xf>
    <xf numFmtId="174" fontId="46" fillId="27" borderId="0" xfId="49" applyNumberFormat="1" applyFont="1" applyFill="1" applyAlignment="1">
      <alignment horizontal="left"/>
    </xf>
    <xf numFmtId="173" fontId="46" fillId="27" borderId="0" xfId="49" applyNumberFormat="1" applyFont="1" applyFill="1"/>
    <xf numFmtId="0" fontId="46" fillId="0" borderId="0" xfId="0" applyFont="1"/>
    <xf numFmtId="0" fontId="46" fillId="27" borderId="0" xfId="0" applyFont="1" applyFill="1"/>
    <xf numFmtId="0" fontId="46" fillId="0" borderId="0" xfId="0" applyFont="1" applyAlignment="1">
      <alignment horizontal="center"/>
    </xf>
    <xf numFmtId="175" fontId="46" fillId="27" borderId="0" xfId="0" applyNumberFormat="1" applyFont="1" applyFill="1"/>
    <xf numFmtId="0" fontId="54" fillId="0" borderId="0" xfId="0" applyFont="1" applyAlignment="1">
      <alignment horizontal="center" wrapText="1"/>
    </xf>
    <xf numFmtId="0" fontId="54" fillId="0" borderId="0" xfId="0" applyFont="1" applyAlignment="1">
      <alignment horizontal="centerContinuous" wrapText="1"/>
    </xf>
    <xf numFmtId="0" fontId="46" fillId="0" borderId="0" xfId="0" applyFont="1" applyAlignment="1">
      <alignment horizontal="centerContinuous" wrapText="1"/>
    </xf>
    <xf numFmtId="0" fontId="54" fillId="0" borderId="0" xfId="0" applyFont="1" applyAlignment="1">
      <alignment horizontal="left" wrapText="1"/>
    </xf>
    <xf numFmtId="0" fontId="46" fillId="0" borderId="0" xfId="0" applyFont="1" applyAlignment="1">
      <alignment wrapText="1"/>
    </xf>
    <xf numFmtId="176" fontId="46" fillId="0" borderId="0" xfId="49" applyNumberFormat="1" applyFont="1" applyAlignment="1"/>
    <xf numFmtId="1" fontId="46" fillId="0" borderId="0" xfId="47" applyNumberFormat="1" applyFont="1"/>
    <xf numFmtId="0" fontId="23" fillId="0" borderId="0" xfId="0" applyFont="1"/>
    <xf numFmtId="0" fontId="46" fillId="0" borderId="18" xfId="0" applyFont="1" applyBorder="1"/>
    <xf numFmtId="0" fontId="0" fillId="0" borderId="7" xfId="0" applyBorder="1"/>
    <xf numFmtId="0" fontId="46" fillId="0" borderId="5" xfId="0" applyFont="1" applyBorder="1"/>
    <xf numFmtId="0" fontId="0" fillId="0" borderId="38" xfId="0" applyBorder="1"/>
    <xf numFmtId="0" fontId="0" fillId="0" borderId="6" xfId="0" applyBorder="1"/>
    <xf numFmtId="0" fontId="31" fillId="28" borderId="53" xfId="50"/>
    <xf numFmtId="177" fontId="0" fillId="0" borderId="2" xfId="0" applyNumberFormat="1" applyBorder="1"/>
    <xf numFmtId="0" fontId="23" fillId="17" borderId="2" xfId="0" applyFont="1" applyFill="1" applyBorder="1"/>
    <xf numFmtId="14" fontId="55" fillId="0" borderId="2" xfId="0" applyNumberFormat="1" applyFont="1" applyBorder="1"/>
    <xf numFmtId="22" fontId="0" fillId="0" borderId="2" xfId="0" applyNumberFormat="1" applyBorder="1"/>
    <xf numFmtId="2" fontId="0" fillId="0" borderId="2" xfId="0" applyNumberFormat="1" applyBorder="1"/>
    <xf numFmtId="10" fontId="0" fillId="0" borderId="2" xfId="0" applyNumberFormat="1" applyBorder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8" fillId="10" borderId="33" xfId="4" applyFont="1" applyFill="1" applyBorder="1" applyAlignment="1" applyProtection="1">
      <alignment horizontal="center" vertical="center"/>
      <protection hidden="1"/>
    </xf>
    <xf numFmtId="0" fontId="8" fillId="10" borderId="34" xfId="4" applyFont="1" applyFill="1" applyBorder="1" applyAlignment="1" applyProtection="1">
      <alignment horizontal="center" vertical="center"/>
      <protection hidden="1"/>
    </xf>
    <xf numFmtId="0" fontId="8" fillId="10" borderId="35" xfId="4" applyFont="1" applyFill="1" applyBorder="1" applyAlignment="1" applyProtection="1">
      <alignment horizontal="center" vertical="center"/>
      <protection hidden="1"/>
    </xf>
    <xf numFmtId="0" fontId="8" fillId="10" borderId="20" xfId="4" applyFont="1" applyFill="1" applyBorder="1" applyAlignment="1" applyProtection="1">
      <alignment horizontal="center" vertical="center"/>
      <protection hidden="1"/>
    </xf>
    <xf numFmtId="0" fontId="8" fillId="10" borderId="19" xfId="4" applyFont="1" applyFill="1" applyBorder="1" applyAlignment="1" applyProtection="1">
      <alignment horizontal="center" vertical="center"/>
      <protection hidden="1"/>
    </xf>
    <xf numFmtId="0" fontId="8" fillId="10" borderId="21" xfId="4" applyFont="1" applyFill="1" applyBorder="1" applyAlignment="1" applyProtection="1">
      <alignment horizontal="center" vertical="center"/>
      <protection hidden="1"/>
    </xf>
    <xf numFmtId="0" fontId="9" fillId="9" borderId="22" xfId="4" applyFont="1" applyFill="1" applyBorder="1" applyAlignment="1" applyProtection="1">
      <alignment horizontal="center"/>
      <protection hidden="1"/>
    </xf>
    <xf numFmtId="0" fontId="9" fillId="9" borderId="23" xfId="4" applyFont="1" applyFill="1" applyBorder="1" applyAlignment="1" applyProtection="1">
      <alignment horizontal="center"/>
      <protection hidden="1"/>
    </xf>
    <xf numFmtId="0" fontId="9" fillId="9" borderId="24" xfId="4" applyFont="1" applyFill="1" applyBorder="1" applyAlignment="1" applyProtection="1">
      <alignment horizontal="center"/>
      <protection hidden="1"/>
    </xf>
  </cellXfs>
  <cellStyles count="51">
    <cellStyle name="Accent1 2" xfId="15" xr:uid="{00000000-0005-0000-0000-000000000000}"/>
    <cellStyle name="Check Cell" xfId="50" builtinId="23"/>
    <cellStyle name="Comma" xfId="1" builtinId="3"/>
    <cellStyle name="Comma 2" xfId="2" xr:uid="{00000000-0005-0000-0000-000002000000}"/>
    <cellStyle name="Comma 3" xfId="16" xr:uid="{00000000-0005-0000-0000-000003000000}"/>
    <cellStyle name="Comma 3 2" xfId="49" xr:uid="{554F3C31-0B10-4936-86D1-FC385555DDDE}"/>
    <cellStyle name="Comma0" xfId="27" xr:uid="{00000000-0005-0000-0000-000004000000}"/>
    <cellStyle name="Comma0 2" xfId="28" xr:uid="{00000000-0005-0000-0000-000005000000}"/>
    <cellStyle name="Currency" xfId="47" builtinId="4"/>
    <cellStyle name="Currency 2" xfId="29" xr:uid="{00000000-0005-0000-0000-000006000000}"/>
    <cellStyle name="Currency0" xfId="30" xr:uid="{00000000-0005-0000-0000-000007000000}"/>
    <cellStyle name="Currency0 2" xfId="31" xr:uid="{00000000-0005-0000-0000-000008000000}"/>
    <cellStyle name="Date" xfId="32" xr:uid="{00000000-0005-0000-0000-000009000000}"/>
    <cellStyle name="Date 2" xfId="33" xr:uid="{00000000-0005-0000-0000-00000A000000}"/>
    <cellStyle name="Fixed" xfId="34" xr:uid="{00000000-0005-0000-0000-00000B000000}"/>
    <cellStyle name="Fixed 2" xfId="35" xr:uid="{00000000-0005-0000-0000-00000C000000}"/>
    <cellStyle name="Heading 1" xfId="48" builtinId="16"/>
    <cellStyle name="Hyperlink 2" xfId="36" xr:uid="{00000000-0005-0000-0000-00000D000000}"/>
    <cellStyle name="Hyperlink 3" xfId="37" xr:uid="{00000000-0005-0000-0000-00000E000000}"/>
    <cellStyle name="Hyperlink_Excel Training_Level 2_30042007" xfId="24" xr:uid="{00000000-0005-0000-0000-000010000000}"/>
    <cellStyle name="junk" xfId="3" xr:uid="{00000000-0005-0000-0000-000011000000}"/>
    <cellStyle name="MyBlue" xfId="17" xr:uid="{00000000-0005-0000-0000-000012000000}"/>
    <cellStyle name="mystyle" xfId="18" xr:uid="{00000000-0005-0000-0000-000013000000}"/>
    <cellStyle name="Normal" xfId="0" builtinId="0"/>
    <cellStyle name="Normal 2" xfId="4" xr:uid="{00000000-0005-0000-0000-000015000000}"/>
    <cellStyle name="Normal 2 2" xfId="14" xr:uid="{00000000-0005-0000-0000-000016000000}"/>
    <cellStyle name="Normal 2 3" xfId="38" xr:uid="{00000000-0005-0000-0000-000017000000}"/>
    <cellStyle name="Normal 20" xfId="44" xr:uid="{00000000-0005-0000-0000-000018000000}"/>
    <cellStyle name="Normal 3" xfId="5" xr:uid="{00000000-0005-0000-0000-000019000000}"/>
    <cellStyle name="Normal 3 2" xfId="6" xr:uid="{00000000-0005-0000-0000-00001A000000}"/>
    <cellStyle name="Normal 3 3" xfId="19" xr:uid="{00000000-0005-0000-0000-00001B000000}"/>
    <cellStyle name="Normal 3 4" xfId="42" xr:uid="{00000000-0005-0000-0000-00001C000000}"/>
    <cellStyle name="Normal 4" xfId="7" xr:uid="{00000000-0005-0000-0000-00001D000000}"/>
    <cellStyle name="Normal 4 2" xfId="20" xr:uid="{00000000-0005-0000-0000-00001E000000}"/>
    <cellStyle name="Normal 5" xfId="21" xr:uid="{00000000-0005-0000-0000-00001F000000}"/>
    <cellStyle name="Normal 6" xfId="39" xr:uid="{00000000-0005-0000-0000-000020000000}"/>
    <cellStyle name="Normal 7" xfId="26" xr:uid="{00000000-0005-0000-0000-000021000000}"/>
    <cellStyle name="Normal 8" xfId="40" xr:uid="{00000000-0005-0000-0000-000022000000}"/>
    <cellStyle name="Normal 9" xfId="43" xr:uid="{00000000-0005-0000-0000-000023000000}"/>
    <cellStyle name="Normal_Assignment" xfId="8" xr:uid="{00000000-0005-0000-0000-000025000000}"/>
    <cellStyle name="Normal_Assignment1" xfId="9" xr:uid="{00000000-0005-0000-0000-000026000000}"/>
    <cellStyle name="Normal_Excel Training_Level 2_30042007" xfId="25" xr:uid="{00000000-0005-0000-0000-000027000000}"/>
    <cellStyle name="Normal_ExcelFunction" xfId="46" xr:uid="{6823D8AA-BD34-4089-8486-28AC847DCDA3}"/>
    <cellStyle name="Percent" xfId="10" builtinId="5"/>
    <cellStyle name="Percent 2" xfId="22" xr:uid="{00000000-0005-0000-0000-00002B000000}"/>
    <cellStyle name="Percent 3" xfId="41" xr:uid="{00000000-0005-0000-0000-00002C000000}"/>
    <cellStyle name="Percent 4" xfId="45" xr:uid="{00000000-0005-0000-0000-00002D000000}"/>
    <cellStyle name="PSChar" xfId="11" xr:uid="{00000000-0005-0000-0000-00002E000000}"/>
    <cellStyle name="Style 1" xfId="12" xr:uid="{00000000-0005-0000-0000-00002F000000}"/>
    <cellStyle name="Style 2" xfId="23" xr:uid="{00000000-0005-0000-0000-000030000000}"/>
    <cellStyle name="YELLOW" xfId="13" xr:uid="{00000000-0005-0000-0000-00003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42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onnections" Target="connection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powerPivotData" Target="model/item.data"/></Relationships>
</file>

<file path=xl/ctrlProps/ctrlProp1.xml><?xml version="1.0" encoding="utf-8"?>
<formControlPr xmlns="http://schemas.microsoft.com/office/spreadsheetml/2009/9/main" objectType="Spin" dx="16" fmlaLink="$D$1" inc="25" max="2000" min="750" page="10" val="825"/>
</file>

<file path=xl/ctrlProps/ctrlProp2.xml><?xml version="1.0" encoding="utf-8"?>
<formControlPr xmlns="http://schemas.microsoft.com/office/spreadsheetml/2009/9/main" objectType="Scroll" dx="16" fmlaLink="$D$2" horiz="1" max="25" min="1" page="10" val="13"/>
</file>

<file path=xl/ctrlProps/ctrlProp3.xml><?xml version="1.0" encoding="utf-8"?>
<formControlPr xmlns="http://schemas.microsoft.com/office/spreadsheetml/2009/9/main" objectType="Scroll" dx="16" fmlaLink="$D$3" horiz="1" inc="100" max="2000" min="100" page="10" val="10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295275</xdr:colOff>
          <xdr:row>0</xdr:row>
          <xdr:rowOff>38100</xdr:rowOff>
        </xdr:from>
        <xdr:to>
          <xdr:col>2</xdr:col>
          <xdr:colOff>714375</xdr:colOff>
          <xdr:row>1</xdr:row>
          <xdr:rowOff>38100</xdr:rowOff>
        </xdr:to>
        <xdr:sp macro="" textlink="">
          <xdr:nvSpPr>
            <xdr:cNvPr id="31746" name="Spinner 2" hidden="1">
              <a:extLst>
                <a:ext uri="{63B3BB69-23CF-44E3-9099-C40C66FF867C}">
                  <a14:compatExt spid="_x0000_s31746"/>
                </a:ext>
                <a:ext uri="{FF2B5EF4-FFF2-40B4-BE49-F238E27FC236}">
                  <a16:creationId xmlns:a16="http://schemas.microsoft.com/office/drawing/2014/main" id="{00000000-0008-0000-1100-000002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180975</xdr:colOff>
          <xdr:row>1</xdr:row>
          <xdr:rowOff>133350</xdr:rowOff>
        </xdr:from>
        <xdr:to>
          <xdr:col>2</xdr:col>
          <xdr:colOff>1895475</xdr:colOff>
          <xdr:row>1</xdr:row>
          <xdr:rowOff>400050</xdr:rowOff>
        </xdr:to>
        <xdr:sp macro="" textlink="">
          <xdr:nvSpPr>
            <xdr:cNvPr id="31747" name="Scroll Bar 3" hidden="1">
              <a:extLst>
                <a:ext uri="{63B3BB69-23CF-44E3-9099-C40C66FF867C}">
                  <a14:compatExt spid="_x0000_s31747"/>
                </a:ext>
                <a:ext uri="{FF2B5EF4-FFF2-40B4-BE49-F238E27FC236}">
                  <a16:creationId xmlns:a16="http://schemas.microsoft.com/office/drawing/2014/main" id="{00000000-0008-0000-1100-000003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</xdr:row>
          <xdr:rowOff>142875</xdr:rowOff>
        </xdr:from>
        <xdr:to>
          <xdr:col>2</xdr:col>
          <xdr:colOff>2047875</xdr:colOff>
          <xdr:row>2</xdr:row>
          <xdr:rowOff>400050</xdr:rowOff>
        </xdr:to>
        <xdr:sp macro="" textlink="">
          <xdr:nvSpPr>
            <xdr:cNvPr id="31748" name="Scroll Bar 4" hidden="1">
              <a:extLst>
                <a:ext uri="{63B3BB69-23CF-44E3-9099-C40C66FF867C}">
                  <a14:compatExt spid="_x0000_s31748"/>
                </a:ext>
                <a:ext uri="{FF2B5EF4-FFF2-40B4-BE49-F238E27FC236}">
                  <a16:creationId xmlns:a16="http://schemas.microsoft.com/office/drawing/2014/main" id="{00000000-0008-0000-1100-000004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3.bin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rinterSettings" Target="../printerSettings/printerSettings15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4.bin"/><Relationship Id="rId1" Type="http://schemas.openxmlformats.org/officeDocument/2006/relationships/printerSettings" Target="../printerSettings/printerSettings2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8.bin"/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E:\Desktop\Session-1-4%20-%20Day-2.xls" TargetMode="External"/><Relationship Id="rId2" Type="http://schemas.openxmlformats.org/officeDocument/2006/relationships/externalLinkPath" Target="file:///E:\Desktop\Session-1-4%20-%20Day-2.xls" TargetMode="External"/><Relationship Id="rId1" Type="http://schemas.openxmlformats.org/officeDocument/2006/relationships/externalLinkPath" Target="file:///E:\Desktop\Session-1-4%20-%20Day-2.x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EA310-FA5C-41E2-B747-F9B92BE6D16A}">
  <dimension ref="A1:G101"/>
  <sheetViews>
    <sheetView showGridLines="0" zoomScale="130" zoomScaleNormal="145" workbookViewId="0">
      <pane ySplit="1" topLeftCell="A12" activePane="bottomLeft" state="frozen"/>
      <selection activeCell="B12" sqref="B12"/>
      <selection pane="bottomLeft" activeCell="D20" sqref="D20"/>
    </sheetView>
  </sheetViews>
  <sheetFormatPr defaultColWidth="20.28515625" defaultRowHeight="12.75"/>
  <cols>
    <col min="1" max="1" width="20.28515625" style="198"/>
    <col min="2" max="2" width="14" style="198" customWidth="1"/>
    <col min="3" max="3" width="13.28515625" style="198" customWidth="1"/>
    <col min="4" max="4" width="14.28515625" style="198" customWidth="1"/>
    <col min="5" max="5" width="15" style="198" customWidth="1"/>
    <col min="6" max="6" width="14.7109375" style="198" customWidth="1"/>
    <col min="7" max="16384" width="20.28515625" style="198"/>
  </cols>
  <sheetData>
    <row r="1" spans="1:7">
      <c r="G1" s="199"/>
    </row>
    <row r="2" spans="1:7">
      <c r="A2" s="200" t="s">
        <v>281</v>
      </c>
      <c r="B2" s="200" t="s">
        <v>487</v>
      </c>
      <c r="C2" s="200" t="s">
        <v>488</v>
      </c>
      <c r="D2" s="200" t="s">
        <v>489</v>
      </c>
      <c r="E2" s="201" t="s">
        <v>490</v>
      </c>
      <c r="F2" s="201" t="s">
        <v>491</v>
      </c>
    </row>
    <row r="3" spans="1:7">
      <c r="A3" s="202" t="s">
        <v>492</v>
      </c>
      <c r="B3" s="203">
        <v>39</v>
      </c>
      <c r="C3" s="203">
        <v>92</v>
      </c>
      <c r="D3" s="203">
        <v>71</v>
      </c>
      <c r="E3" s="204">
        <f>SUM(B3:D3)</f>
        <v>202</v>
      </c>
      <c r="F3" s="205">
        <f>AVERAGE(B3:D3)</f>
        <v>67.333333333333329</v>
      </c>
    </row>
    <row r="4" spans="1:7">
      <c r="A4" s="202" t="s">
        <v>493</v>
      </c>
      <c r="B4" s="203">
        <v>55</v>
      </c>
      <c r="C4" s="203">
        <v>75</v>
      </c>
      <c r="D4" s="203">
        <v>91</v>
      </c>
      <c r="E4" s="204">
        <f>SUM(B4:D4)</f>
        <v>221</v>
      </c>
      <c r="F4" s="205">
        <f t="shared" ref="F4:F12" si="0">AVERAGE(B4:D4)</f>
        <v>73.666666666666671</v>
      </c>
    </row>
    <row r="5" spans="1:7">
      <c r="A5" s="202" t="s">
        <v>494</v>
      </c>
      <c r="B5" s="203">
        <v>20</v>
      </c>
      <c r="C5" s="203">
        <v>56</v>
      </c>
      <c r="D5" s="203">
        <v>63</v>
      </c>
      <c r="E5" s="204">
        <f>SUM(B5:D5)</f>
        <v>139</v>
      </c>
      <c r="F5" s="205">
        <f t="shared" si="0"/>
        <v>46.333333333333336</v>
      </c>
    </row>
    <row r="6" spans="1:7">
      <c r="A6" s="202" t="s">
        <v>495</v>
      </c>
      <c r="B6" s="203">
        <v>80</v>
      </c>
      <c r="C6" s="203">
        <v>28</v>
      </c>
      <c r="D6" s="203">
        <v>77</v>
      </c>
      <c r="E6" s="204">
        <f>SUM(B6:D6)</f>
        <v>185</v>
      </c>
      <c r="F6" s="205">
        <f t="shared" si="0"/>
        <v>61.666666666666664</v>
      </c>
    </row>
    <row r="7" spans="1:7">
      <c r="A7" s="202" t="s">
        <v>496</v>
      </c>
      <c r="B7" s="203">
        <v>38</v>
      </c>
      <c r="C7" s="203">
        <v>46</v>
      </c>
      <c r="D7" s="203">
        <v>26</v>
      </c>
      <c r="E7" s="204">
        <f>SUM(B7:D7)</f>
        <v>110</v>
      </c>
      <c r="F7" s="205">
        <f t="shared" si="0"/>
        <v>36.666666666666664</v>
      </c>
    </row>
    <row r="8" spans="1:7">
      <c r="A8" s="202" t="s">
        <v>497</v>
      </c>
      <c r="B8" s="203">
        <v>30</v>
      </c>
      <c r="C8" s="203">
        <v>52</v>
      </c>
      <c r="D8" s="203">
        <v>80</v>
      </c>
      <c r="E8" s="204">
        <f>SUM(B8:D8)</f>
        <v>162</v>
      </c>
      <c r="F8" s="205">
        <f t="shared" si="0"/>
        <v>54</v>
      </c>
    </row>
    <row r="9" spans="1:7" ht="12.75" customHeight="1">
      <c r="A9" s="202" t="s">
        <v>498</v>
      </c>
      <c r="B9" s="203">
        <v>95</v>
      </c>
      <c r="C9" s="203">
        <v>70</v>
      </c>
      <c r="D9" s="203">
        <v>46</v>
      </c>
      <c r="E9" s="204">
        <f>SUM(B9:D9)</f>
        <v>211</v>
      </c>
      <c r="F9" s="205">
        <f t="shared" si="0"/>
        <v>70.333333333333329</v>
      </c>
    </row>
    <row r="10" spans="1:7">
      <c r="A10" s="202" t="s">
        <v>499</v>
      </c>
      <c r="B10" s="203">
        <v>98</v>
      </c>
      <c r="C10" s="203">
        <v>100</v>
      </c>
      <c r="D10" s="203">
        <v>71</v>
      </c>
      <c r="E10" s="204">
        <f>SUM(B10:D10)</f>
        <v>269</v>
      </c>
      <c r="F10" s="205">
        <f t="shared" si="0"/>
        <v>89.666666666666671</v>
      </c>
    </row>
    <row r="11" spans="1:7">
      <c r="A11" s="202" t="s">
        <v>500</v>
      </c>
      <c r="B11" s="203">
        <v>38</v>
      </c>
      <c r="C11" s="203">
        <v>42</v>
      </c>
      <c r="D11" s="203">
        <v>38</v>
      </c>
      <c r="E11" s="204">
        <f>SUM(B11:D11)</f>
        <v>118</v>
      </c>
      <c r="F11" s="205">
        <f t="shared" si="0"/>
        <v>39.333333333333336</v>
      </c>
    </row>
    <row r="12" spans="1:7">
      <c r="A12" s="202" t="s">
        <v>501</v>
      </c>
      <c r="B12" s="203">
        <v>86</v>
      </c>
      <c r="C12" s="203">
        <v>27</v>
      </c>
      <c r="D12" s="203">
        <v>35</v>
      </c>
      <c r="E12" s="204">
        <f>SUM(B12:D12)</f>
        <v>148</v>
      </c>
      <c r="F12" s="205">
        <f t="shared" si="0"/>
        <v>49.333333333333336</v>
      </c>
    </row>
    <row r="13" spans="1:7" ht="12.75" customHeight="1">
      <c r="A13" s="201" t="s">
        <v>502</v>
      </c>
      <c r="B13" s="204">
        <f>SUM(B3:B12)</f>
        <v>579</v>
      </c>
      <c r="C13" s="204">
        <f>SUM(C3:C12)</f>
        <v>588</v>
      </c>
      <c r="D13" s="204">
        <f>SUM(D3:D12)</f>
        <v>598</v>
      </c>
      <c r="E13" s="1"/>
      <c r="F13" s="206"/>
      <c r="G13"/>
    </row>
    <row r="14" spans="1:7" ht="15">
      <c r="A14" s="201" t="s">
        <v>503</v>
      </c>
      <c r="B14" s="204">
        <f>COUNTA(A3:A12)</f>
        <v>10</v>
      </c>
      <c r="C14" s="204">
        <f>COUNT(C3:C12)</f>
        <v>10</v>
      </c>
      <c r="D14" s="204">
        <f>COUNT(D3:D12)</f>
        <v>10</v>
      </c>
      <c r="E14" s="1"/>
      <c r="G14"/>
    </row>
    <row r="15" spans="1:7" ht="15">
      <c r="A15" s="201" t="s">
        <v>504</v>
      </c>
      <c r="B15" s="207">
        <f>MAX(B3:B12)</f>
        <v>98</v>
      </c>
      <c r="C15" s="207">
        <f>MAX(C3:C12)</f>
        <v>100</v>
      </c>
      <c r="D15" s="207">
        <f>MAX(D3:D12)</f>
        <v>91</v>
      </c>
      <c r="G15"/>
    </row>
    <row r="16" spans="1:7" ht="15">
      <c r="A16" s="201" t="s">
        <v>505</v>
      </c>
      <c r="B16" s="207">
        <f>MIN(B3:B12)</f>
        <v>20</v>
      </c>
      <c r="C16" s="207">
        <f t="shared" ref="C16:D16" si="1">MIN(C3:C12)</f>
        <v>27</v>
      </c>
      <c r="D16" s="207">
        <f t="shared" si="1"/>
        <v>26</v>
      </c>
      <c r="G16"/>
    </row>
    <row r="17" spans="1:7" ht="15">
      <c r="A17" s="201" t="s">
        <v>506</v>
      </c>
      <c r="B17" s="207">
        <f>COUNTIF(B3:B12,"&gt;70")</f>
        <v>4</v>
      </c>
      <c r="C17" s="207">
        <f t="shared" ref="C17:D17" si="2">COUNTIF(C3:C12,"&gt;70")</f>
        <v>3</v>
      </c>
      <c r="D17" s="207">
        <f t="shared" si="2"/>
        <v>5</v>
      </c>
      <c r="F17" s="208"/>
      <c r="G17"/>
    </row>
    <row r="18" spans="1:7" ht="15">
      <c r="A18" s="201" t="s">
        <v>507</v>
      </c>
      <c r="B18" s="207">
        <f>COUNTIF(B3:B12,"&lt;40")</f>
        <v>5</v>
      </c>
      <c r="C18" s="207">
        <f t="shared" ref="C18:D18" si="3">COUNTIF(C3:C12,"&lt;40")</f>
        <v>2</v>
      </c>
      <c r="D18" s="207">
        <f t="shared" si="3"/>
        <v>3</v>
      </c>
      <c r="F18" s="208"/>
      <c r="G18"/>
    </row>
    <row r="19" spans="1:7" ht="15">
      <c r="A19" s="201" t="s">
        <v>508</v>
      </c>
      <c r="B19" s="212">
        <f>LARGE(B3:B12,2)</f>
        <v>95</v>
      </c>
      <c r="C19" s="212">
        <f t="shared" ref="C19:D19" si="4">LARGE(C3:C12,2)</f>
        <v>92</v>
      </c>
      <c r="D19" s="212">
        <f t="shared" si="4"/>
        <v>80</v>
      </c>
      <c r="G19"/>
    </row>
    <row r="20" spans="1:7" ht="15">
      <c r="A20" s="201" t="s">
        <v>509</v>
      </c>
      <c r="B20" s="212">
        <f>SMALL(B3:B12,3)</f>
        <v>38</v>
      </c>
      <c r="C20" s="212">
        <f>SMALL(C3:C12,3)</f>
        <v>42</v>
      </c>
      <c r="D20" s="212">
        <f>SMALL(D3:D12,3)</f>
        <v>38</v>
      </c>
      <c r="G20"/>
    </row>
    <row r="21" spans="1:7" ht="15">
      <c r="G21"/>
    </row>
    <row r="22" spans="1:7" ht="15">
      <c r="G22"/>
    </row>
    <row r="23" spans="1:7">
      <c r="G23" s="199"/>
    </row>
    <row r="24" spans="1:7">
      <c r="G24" s="199"/>
    </row>
    <row r="25" spans="1:7">
      <c r="G25" s="199"/>
    </row>
    <row r="26" spans="1:7">
      <c r="G26" s="199"/>
    </row>
    <row r="27" spans="1:7">
      <c r="G27" s="199"/>
    </row>
    <row r="28" spans="1:7">
      <c r="G28" s="199"/>
    </row>
    <row r="29" spans="1:7">
      <c r="G29" s="199"/>
    </row>
    <row r="30" spans="1:7">
      <c r="G30" s="199"/>
    </row>
    <row r="31" spans="1:7">
      <c r="G31" s="199"/>
    </row>
    <row r="32" spans="1:7">
      <c r="G32" s="199"/>
    </row>
    <row r="33" spans="7:7">
      <c r="G33" s="199"/>
    </row>
    <row r="34" spans="7:7">
      <c r="G34" s="199"/>
    </row>
    <row r="35" spans="7:7">
      <c r="G35" s="199"/>
    </row>
    <row r="36" spans="7:7">
      <c r="G36" s="199"/>
    </row>
    <row r="37" spans="7:7">
      <c r="G37" s="199"/>
    </row>
    <row r="38" spans="7:7">
      <c r="G38" s="199"/>
    </row>
    <row r="39" spans="7:7">
      <c r="G39" s="199"/>
    </row>
    <row r="40" spans="7:7">
      <c r="G40" s="199"/>
    </row>
    <row r="41" spans="7:7">
      <c r="G41" s="199"/>
    </row>
    <row r="42" spans="7:7">
      <c r="G42" s="199"/>
    </row>
    <row r="43" spans="7:7">
      <c r="G43" s="199"/>
    </row>
    <row r="44" spans="7:7">
      <c r="G44" s="199"/>
    </row>
    <row r="45" spans="7:7">
      <c r="G45" s="199"/>
    </row>
    <row r="46" spans="7:7">
      <c r="G46" s="199"/>
    </row>
    <row r="47" spans="7:7">
      <c r="G47" s="199"/>
    </row>
    <row r="48" spans="7:7">
      <c r="G48" s="199"/>
    </row>
    <row r="49" spans="7:7">
      <c r="G49" s="199"/>
    </row>
    <row r="50" spans="7:7">
      <c r="G50" s="199"/>
    </row>
    <row r="51" spans="7:7">
      <c r="G51" s="199"/>
    </row>
    <row r="52" spans="7:7">
      <c r="G52" s="199"/>
    </row>
    <row r="53" spans="7:7">
      <c r="G53" s="199"/>
    </row>
    <row r="54" spans="7:7">
      <c r="G54" s="199"/>
    </row>
    <row r="55" spans="7:7">
      <c r="G55" s="199"/>
    </row>
    <row r="56" spans="7:7">
      <c r="G56" s="199"/>
    </row>
    <row r="57" spans="7:7">
      <c r="G57" s="199"/>
    </row>
    <row r="58" spans="7:7">
      <c r="G58" s="199"/>
    </row>
    <row r="59" spans="7:7">
      <c r="G59" s="199"/>
    </row>
    <row r="60" spans="7:7">
      <c r="G60" s="199"/>
    </row>
    <row r="61" spans="7:7">
      <c r="G61" s="199"/>
    </row>
    <row r="62" spans="7:7">
      <c r="G62" s="199"/>
    </row>
    <row r="63" spans="7:7">
      <c r="G63" s="199"/>
    </row>
    <row r="64" spans="7:7">
      <c r="G64" s="199"/>
    </row>
    <row r="65" spans="7:7">
      <c r="G65" s="199"/>
    </row>
    <row r="66" spans="7:7">
      <c r="G66" s="199"/>
    </row>
    <row r="67" spans="7:7">
      <c r="G67" s="199"/>
    </row>
    <row r="68" spans="7:7">
      <c r="G68" s="199"/>
    </row>
    <row r="69" spans="7:7">
      <c r="G69" s="199"/>
    </row>
    <row r="70" spans="7:7">
      <c r="G70" s="199"/>
    </row>
    <row r="71" spans="7:7">
      <c r="G71" s="199"/>
    </row>
    <row r="72" spans="7:7">
      <c r="G72" s="199"/>
    </row>
    <row r="73" spans="7:7">
      <c r="G73" s="199"/>
    </row>
    <row r="74" spans="7:7">
      <c r="G74" s="199"/>
    </row>
    <row r="75" spans="7:7">
      <c r="G75" s="199"/>
    </row>
    <row r="76" spans="7:7">
      <c r="G76" s="199"/>
    </row>
    <row r="77" spans="7:7">
      <c r="G77" s="199"/>
    </row>
    <row r="78" spans="7:7">
      <c r="G78" s="199"/>
    </row>
    <row r="79" spans="7:7">
      <c r="G79" s="199"/>
    </row>
    <row r="80" spans="7:7">
      <c r="G80" s="199"/>
    </row>
    <row r="81" spans="7:7">
      <c r="G81" s="199"/>
    </row>
    <row r="82" spans="7:7">
      <c r="G82" s="199"/>
    </row>
    <row r="83" spans="7:7">
      <c r="G83" s="199"/>
    </row>
    <row r="84" spans="7:7">
      <c r="G84" s="199"/>
    </row>
    <row r="85" spans="7:7">
      <c r="G85" s="199"/>
    </row>
    <row r="86" spans="7:7">
      <c r="G86" s="199"/>
    </row>
    <row r="87" spans="7:7">
      <c r="G87" s="199"/>
    </row>
    <row r="88" spans="7:7">
      <c r="G88" s="199"/>
    </row>
    <row r="89" spans="7:7">
      <c r="G89" s="199"/>
    </row>
    <row r="90" spans="7:7">
      <c r="G90" s="199"/>
    </row>
    <row r="91" spans="7:7">
      <c r="G91" s="199"/>
    </row>
    <row r="92" spans="7:7">
      <c r="G92" s="199"/>
    </row>
    <row r="93" spans="7:7">
      <c r="G93" s="199"/>
    </row>
    <row r="94" spans="7:7">
      <c r="G94" s="199"/>
    </row>
    <row r="95" spans="7:7">
      <c r="G95" s="199"/>
    </row>
    <row r="96" spans="7:7">
      <c r="G96" s="199"/>
    </row>
    <row r="97" spans="7:7">
      <c r="G97" s="199"/>
    </row>
    <row r="98" spans="7:7">
      <c r="G98" s="199"/>
    </row>
    <row r="99" spans="7:7">
      <c r="G99" s="199"/>
    </row>
    <row r="100" spans="7:7">
      <c r="G100" s="199"/>
    </row>
    <row r="101" spans="7:7">
      <c r="G101" s="199"/>
    </row>
  </sheetData>
  <sheetProtection selectLockedCells="1" selectUnlockedCells="1"/>
  <pageMargins left="0.75" right="0.75" top="1" bottom="1" header="0.5" footer="0.5"/>
  <pageSetup orientation="portrait" verticalDpi="18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54AB1-18C4-498B-8A95-DBE983AACCCE}">
  <dimension ref="A1:L41"/>
  <sheetViews>
    <sheetView topLeftCell="A6" workbookViewId="0">
      <selection activeCell="K9" sqref="K9"/>
    </sheetView>
  </sheetViews>
  <sheetFormatPr defaultRowHeight="15"/>
  <cols>
    <col min="1" max="1" width="19.28515625" bestFit="1" customWidth="1"/>
    <col min="2" max="2" width="6.28515625" bestFit="1" customWidth="1"/>
    <col min="3" max="3" width="20.7109375" customWidth="1"/>
    <col min="4" max="4" width="19.28515625" customWidth="1"/>
    <col min="5" max="5" width="14.28515625" bestFit="1" customWidth="1"/>
    <col min="9" max="9" width="23" customWidth="1"/>
    <col min="10" max="10" width="20.7109375" customWidth="1"/>
    <col min="11" max="11" width="23.140625" customWidth="1"/>
  </cols>
  <sheetData>
    <row r="1" spans="1:12" ht="17.25">
      <c r="A1" s="230" t="s">
        <v>281</v>
      </c>
      <c r="B1" s="230" t="s">
        <v>47</v>
      </c>
      <c r="C1" s="230" t="s">
        <v>557</v>
      </c>
      <c r="D1" s="230" t="s">
        <v>558</v>
      </c>
      <c r="E1" s="231" t="s">
        <v>559</v>
      </c>
    </row>
    <row r="2" spans="1:12">
      <c r="A2" s="232" t="s">
        <v>560</v>
      </c>
      <c r="B2" s="233" t="s">
        <v>266</v>
      </c>
      <c r="C2" s="233" t="s">
        <v>561</v>
      </c>
      <c r="D2" s="234">
        <v>60000</v>
      </c>
      <c r="E2" s="235">
        <v>4</v>
      </c>
    </row>
    <row r="3" spans="1:12">
      <c r="A3" s="232" t="s">
        <v>562</v>
      </c>
      <c r="B3" s="233" t="s">
        <v>563</v>
      </c>
      <c r="C3" s="233" t="s">
        <v>71</v>
      </c>
      <c r="D3" s="234">
        <v>250500</v>
      </c>
      <c r="E3" s="235">
        <v>5</v>
      </c>
      <c r="I3" s="233" t="s">
        <v>607</v>
      </c>
      <c r="J3" s="233"/>
      <c r="K3" s="233"/>
      <c r="L3" s="233"/>
    </row>
    <row r="4" spans="1:12">
      <c r="A4" s="232" t="s">
        <v>564</v>
      </c>
      <c r="B4" s="233" t="s">
        <v>266</v>
      </c>
      <c r="C4" s="233" t="s">
        <v>71</v>
      </c>
      <c r="D4" s="234">
        <v>380050</v>
      </c>
      <c r="E4" s="235">
        <v>7</v>
      </c>
      <c r="I4" s="233"/>
      <c r="J4" s="236">
        <f>COUNTIFS(B:B,"South",C:C,C2)</f>
        <v>4</v>
      </c>
      <c r="K4" s="233"/>
      <c r="L4" s="233"/>
    </row>
    <row r="5" spans="1:12">
      <c r="A5" s="232" t="s">
        <v>565</v>
      </c>
      <c r="B5" s="233" t="s">
        <v>251</v>
      </c>
      <c r="C5" s="233" t="s">
        <v>566</v>
      </c>
      <c r="D5" s="234">
        <v>90000</v>
      </c>
      <c r="E5" s="235">
        <v>3</v>
      </c>
      <c r="I5" s="233" t="s">
        <v>608</v>
      </c>
      <c r="J5" s="233"/>
      <c r="K5" s="233"/>
      <c r="L5" s="233"/>
    </row>
    <row r="6" spans="1:12">
      <c r="A6" s="232" t="s">
        <v>567</v>
      </c>
      <c r="B6" s="233" t="s">
        <v>568</v>
      </c>
      <c r="C6" s="233" t="s">
        <v>569</v>
      </c>
      <c r="D6" s="234">
        <v>150000</v>
      </c>
      <c r="E6" s="235">
        <v>4</v>
      </c>
      <c r="I6" s="233"/>
      <c r="J6" s="237">
        <f>SUMIFS(D:D,B:B,B3,C:C,C2)</f>
        <v>495000</v>
      </c>
      <c r="K6" s="233"/>
      <c r="L6" s="233"/>
    </row>
    <row r="7" spans="1:12">
      <c r="A7" s="232" t="s">
        <v>570</v>
      </c>
      <c r="B7" s="233" t="s">
        <v>568</v>
      </c>
      <c r="C7" s="233" t="s">
        <v>571</v>
      </c>
      <c r="D7" s="234">
        <v>60000</v>
      </c>
      <c r="E7" s="235">
        <v>7</v>
      </c>
      <c r="I7" s="233"/>
      <c r="J7" s="233"/>
      <c r="K7" s="233"/>
      <c r="L7" s="233"/>
    </row>
    <row r="8" spans="1:12">
      <c r="A8" s="232" t="s">
        <v>572</v>
      </c>
      <c r="B8" s="233" t="s">
        <v>251</v>
      </c>
      <c r="C8" s="233" t="s">
        <v>573</v>
      </c>
      <c r="D8" s="234">
        <v>150200</v>
      </c>
      <c r="E8" s="235">
        <v>7</v>
      </c>
      <c r="I8" s="233"/>
      <c r="J8" s="233"/>
      <c r="K8" s="233"/>
      <c r="L8" s="233"/>
    </row>
    <row r="9" spans="1:12">
      <c r="A9" s="232" t="s">
        <v>574</v>
      </c>
      <c r="B9" s="233" t="s">
        <v>266</v>
      </c>
      <c r="C9" s="233" t="s">
        <v>569</v>
      </c>
      <c r="D9" s="234">
        <v>73500</v>
      </c>
      <c r="E9" s="235">
        <v>5</v>
      </c>
      <c r="I9" s="233" t="s">
        <v>609</v>
      </c>
      <c r="J9" s="233"/>
      <c r="K9" s="233"/>
      <c r="L9" s="233"/>
    </row>
    <row r="10" spans="1:12">
      <c r="A10" s="232" t="s">
        <v>575</v>
      </c>
      <c r="B10" s="233" t="s">
        <v>563</v>
      </c>
      <c r="C10" s="233" t="s">
        <v>561</v>
      </c>
      <c r="D10" s="234">
        <v>105000</v>
      </c>
      <c r="E10" s="235">
        <v>4</v>
      </c>
      <c r="I10" s="233"/>
      <c r="J10" s="233"/>
      <c r="K10" s="233"/>
      <c r="L10" s="233"/>
    </row>
    <row r="11" spans="1:12" ht="17.25">
      <c r="A11" s="232" t="s">
        <v>576</v>
      </c>
      <c r="B11" s="233" t="s">
        <v>266</v>
      </c>
      <c r="C11" s="233" t="s">
        <v>571</v>
      </c>
      <c r="D11" s="234">
        <v>62000</v>
      </c>
      <c r="E11" s="235">
        <v>4</v>
      </c>
      <c r="I11" s="238" t="s">
        <v>747</v>
      </c>
      <c r="J11" s="239"/>
      <c r="K11" s="239"/>
      <c r="L11" s="233"/>
    </row>
    <row r="12" spans="1:12" ht="17.25">
      <c r="A12" s="232" t="s">
        <v>577</v>
      </c>
      <c r="B12" s="233" t="s">
        <v>568</v>
      </c>
      <c r="C12" s="233" t="s">
        <v>573</v>
      </c>
      <c r="D12" s="234">
        <v>96600</v>
      </c>
      <c r="E12" s="235">
        <v>6</v>
      </c>
      <c r="I12" s="230" t="s">
        <v>557</v>
      </c>
      <c r="J12" s="230" t="s">
        <v>610</v>
      </c>
      <c r="K12" s="230" t="s">
        <v>611</v>
      </c>
      <c r="L12" s="233"/>
    </row>
    <row r="13" spans="1:12">
      <c r="A13" s="232" t="s">
        <v>578</v>
      </c>
      <c r="B13" s="233" t="s">
        <v>568</v>
      </c>
      <c r="C13" s="233" t="s">
        <v>569</v>
      </c>
      <c r="D13" s="234">
        <v>84000</v>
      </c>
      <c r="E13" s="235">
        <v>3</v>
      </c>
      <c r="I13" s="233" t="s">
        <v>569</v>
      </c>
      <c r="J13" s="240">
        <f>COUNTIFS(C:C,I13)</f>
        <v>10</v>
      </c>
      <c r="K13" s="241">
        <f>SUMIFS(D:D,C:C,I13)</f>
        <v>952500</v>
      </c>
      <c r="L13" s="233"/>
    </row>
    <row r="14" spans="1:12">
      <c r="A14" s="232" t="s">
        <v>579</v>
      </c>
      <c r="B14" s="233" t="s">
        <v>251</v>
      </c>
      <c r="C14" s="233" t="s">
        <v>566</v>
      </c>
      <c r="D14" s="234">
        <v>104000</v>
      </c>
      <c r="E14" s="235">
        <v>3</v>
      </c>
      <c r="I14" s="233" t="s">
        <v>566</v>
      </c>
      <c r="J14" s="240">
        <f t="shared" ref="J14:J18" si="0">COUNTIFS(C:C,I14)</f>
        <v>7</v>
      </c>
      <c r="K14" s="241">
        <f t="shared" ref="K14:K19" si="1">SUMIFS(D:D,C:C,I14)</f>
        <v>671000</v>
      </c>
      <c r="L14" s="233"/>
    </row>
    <row r="15" spans="1:12">
      <c r="A15" s="232" t="s">
        <v>580</v>
      </c>
      <c r="B15" s="233" t="s">
        <v>568</v>
      </c>
      <c r="C15" s="233" t="s">
        <v>569</v>
      </c>
      <c r="D15" s="234">
        <v>120000</v>
      </c>
      <c r="E15" s="235">
        <v>4</v>
      </c>
      <c r="I15" s="233" t="s">
        <v>573</v>
      </c>
      <c r="J15" s="240">
        <f t="shared" si="0"/>
        <v>5</v>
      </c>
      <c r="K15" s="241">
        <f t="shared" si="1"/>
        <v>506800</v>
      </c>
      <c r="L15" s="233"/>
    </row>
    <row r="16" spans="1:12">
      <c r="A16" s="232" t="s">
        <v>581</v>
      </c>
      <c r="B16" s="233" t="s">
        <v>563</v>
      </c>
      <c r="C16" s="233" t="s">
        <v>566</v>
      </c>
      <c r="D16" s="234">
        <v>95000</v>
      </c>
      <c r="E16" s="235">
        <v>5</v>
      </c>
      <c r="I16" s="233" t="s">
        <v>571</v>
      </c>
      <c r="J16" s="240">
        <f t="shared" si="0"/>
        <v>4</v>
      </c>
      <c r="K16" s="241">
        <f t="shared" si="1"/>
        <v>374000</v>
      </c>
      <c r="L16" s="233"/>
    </row>
    <row r="17" spans="1:12">
      <c r="A17" s="232" t="s">
        <v>582</v>
      </c>
      <c r="B17" s="233" t="s">
        <v>266</v>
      </c>
      <c r="C17" s="233" t="s">
        <v>569</v>
      </c>
      <c r="D17" s="234">
        <v>87000</v>
      </c>
      <c r="E17" s="235">
        <v>3</v>
      </c>
      <c r="I17" s="233" t="s">
        <v>561</v>
      </c>
      <c r="J17" s="240">
        <f t="shared" si="0"/>
        <v>7</v>
      </c>
      <c r="K17" s="241">
        <f t="shared" si="1"/>
        <v>712000</v>
      </c>
      <c r="L17" s="233"/>
    </row>
    <row r="18" spans="1:12">
      <c r="A18" s="232" t="s">
        <v>583</v>
      </c>
      <c r="B18" s="233" t="s">
        <v>251</v>
      </c>
      <c r="C18" s="233" t="s">
        <v>71</v>
      </c>
      <c r="D18" s="234">
        <v>110000</v>
      </c>
      <c r="E18" s="235">
        <v>3</v>
      </c>
      <c r="I18" s="233" t="s">
        <v>71</v>
      </c>
      <c r="J18" s="240">
        <f t="shared" si="0"/>
        <v>7</v>
      </c>
      <c r="K18" s="241">
        <f t="shared" si="1"/>
        <v>1181550</v>
      </c>
      <c r="L18" s="233"/>
    </row>
    <row r="19" spans="1:12">
      <c r="A19" s="232" t="s">
        <v>584</v>
      </c>
      <c r="B19" s="233" t="s">
        <v>563</v>
      </c>
      <c r="C19" s="233" t="s">
        <v>566</v>
      </c>
      <c r="D19" s="234">
        <v>75000</v>
      </c>
      <c r="E19" s="235">
        <v>7</v>
      </c>
      <c r="I19" s="233"/>
      <c r="J19" s="233"/>
      <c r="K19" s="241"/>
      <c r="L19" s="233"/>
    </row>
    <row r="20" spans="1:12">
      <c r="A20" s="232" t="s">
        <v>585</v>
      </c>
      <c r="B20" s="233" t="s">
        <v>266</v>
      </c>
      <c r="C20" s="233" t="s">
        <v>571</v>
      </c>
      <c r="D20" s="234">
        <v>180000</v>
      </c>
      <c r="E20" s="235">
        <v>3</v>
      </c>
    </row>
    <row r="21" spans="1:12">
      <c r="A21" s="232" t="s">
        <v>586</v>
      </c>
      <c r="B21" s="233" t="s">
        <v>568</v>
      </c>
      <c r="C21" s="233" t="s">
        <v>569</v>
      </c>
      <c r="D21" s="234">
        <v>106000</v>
      </c>
      <c r="E21" s="235">
        <v>5</v>
      </c>
    </row>
    <row r="22" spans="1:12">
      <c r="A22" s="232" t="s">
        <v>587</v>
      </c>
      <c r="B22" s="233" t="s">
        <v>568</v>
      </c>
      <c r="C22" s="233" t="s">
        <v>569</v>
      </c>
      <c r="D22" s="234">
        <v>70000</v>
      </c>
      <c r="E22" s="235">
        <v>7</v>
      </c>
    </row>
    <row r="23" spans="1:12">
      <c r="A23" s="232" t="s">
        <v>588</v>
      </c>
      <c r="B23" s="233" t="s">
        <v>266</v>
      </c>
      <c r="C23" s="233" t="s">
        <v>573</v>
      </c>
      <c r="D23" s="234">
        <v>90000</v>
      </c>
      <c r="E23" s="235">
        <v>6</v>
      </c>
    </row>
    <row r="24" spans="1:12">
      <c r="A24" s="232" t="s">
        <v>589</v>
      </c>
      <c r="B24" s="233" t="s">
        <v>563</v>
      </c>
      <c r="C24" s="233" t="s">
        <v>561</v>
      </c>
      <c r="D24" s="234">
        <v>160000</v>
      </c>
      <c r="E24" s="235">
        <v>7</v>
      </c>
    </row>
    <row r="25" spans="1:12">
      <c r="A25" s="232" t="s">
        <v>590</v>
      </c>
      <c r="B25" s="233" t="s">
        <v>251</v>
      </c>
      <c r="C25" s="233" t="s">
        <v>569</v>
      </c>
      <c r="D25" s="234">
        <v>98000</v>
      </c>
      <c r="E25" s="235">
        <v>5</v>
      </c>
    </row>
    <row r="26" spans="1:12">
      <c r="A26" s="232" t="s">
        <v>591</v>
      </c>
      <c r="B26" s="233" t="s">
        <v>266</v>
      </c>
      <c r="C26" s="233" t="s">
        <v>561</v>
      </c>
      <c r="D26" s="234">
        <v>65000</v>
      </c>
      <c r="E26" s="235">
        <v>5</v>
      </c>
    </row>
    <row r="27" spans="1:12">
      <c r="A27" s="232" t="s">
        <v>592</v>
      </c>
      <c r="B27" s="233" t="s">
        <v>563</v>
      </c>
      <c r="C27" s="233" t="s">
        <v>569</v>
      </c>
      <c r="D27" s="234">
        <v>80000</v>
      </c>
      <c r="E27" s="235">
        <v>6</v>
      </c>
    </row>
    <row r="28" spans="1:12">
      <c r="A28" s="232" t="s">
        <v>593</v>
      </c>
      <c r="B28" s="233" t="s">
        <v>266</v>
      </c>
      <c r="C28" s="233" t="s">
        <v>566</v>
      </c>
      <c r="D28" s="234">
        <v>78000</v>
      </c>
      <c r="E28" s="235">
        <v>6</v>
      </c>
    </row>
    <row r="29" spans="1:12">
      <c r="A29" s="232" t="s">
        <v>594</v>
      </c>
      <c r="B29" s="233" t="s">
        <v>251</v>
      </c>
      <c r="C29" s="233" t="s">
        <v>573</v>
      </c>
      <c r="D29" s="234">
        <v>94000</v>
      </c>
      <c r="E29" s="235">
        <v>5</v>
      </c>
    </row>
    <row r="30" spans="1:12">
      <c r="A30" s="232" t="s">
        <v>595</v>
      </c>
      <c r="B30" s="233" t="s">
        <v>568</v>
      </c>
      <c r="C30" s="233" t="s">
        <v>573</v>
      </c>
      <c r="D30" s="234">
        <v>76000</v>
      </c>
      <c r="E30" s="235">
        <v>6</v>
      </c>
    </row>
    <row r="31" spans="1:12">
      <c r="A31" s="232" t="s">
        <v>596</v>
      </c>
      <c r="B31" s="233" t="s">
        <v>568</v>
      </c>
      <c r="C31" s="233" t="s">
        <v>566</v>
      </c>
      <c r="D31" s="234">
        <v>124000</v>
      </c>
      <c r="E31" s="235">
        <v>3</v>
      </c>
    </row>
    <row r="32" spans="1:12">
      <c r="A32" s="232" t="s">
        <v>597</v>
      </c>
      <c r="B32" s="233" t="s">
        <v>251</v>
      </c>
      <c r="C32" s="233" t="s">
        <v>71</v>
      </c>
      <c r="D32" s="234">
        <v>93000</v>
      </c>
      <c r="E32" s="235">
        <v>4</v>
      </c>
    </row>
    <row r="33" spans="1:5">
      <c r="A33" s="232" t="s">
        <v>598</v>
      </c>
      <c r="B33" s="233" t="s">
        <v>266</v>
      </c>
      <c r="C33" s="233" t="s">
        <v>566</v>
      </c>
      <c r="D33" s="234">
        <v>105000</v>
      </c>
      <c r="E33" s="235">
        <v>3</v>
      </c>
    </row>
    <row r="34" spans="1:5">
      <c r="A34" s="232" t="s">
        <v>599</v>
      </c>
      <c r="B34" s="233" t="s">
        <v>563</v>
      </c>
      <c r="C34" s="233" t="s">
        <v>561</v>
      </c>
      <c r="D34" s="234">
        <v>130000</v>
      </c>
      <c r="E34" s="235">
        <v>4</v>
      </c>
    </row>
    <row r="35" spans="1:5">
      <c r="A35" s="232" t="s">
        <v>600</v>
      </c>
      <c r="B35" s="233" t="s">
        <v>266</v>
      </c>
      <c r="C35" s="233" t="s">
        <v>71</v>
      </c>
      <c r="D35" s="234">
        <v>144000</v>
      </c>
      <c r="E35" s="235">
        <v>4</v>
      </c>
    </row>
    <row r="36" spans="1:5">
      <c r="A36" s="232" t="s">
        <v>601</v>
      </c>
      <c r="B36" s="233" t="s">
        <v>568</v>
      </c>
      <c r="C36" s="233" t="s">
        <v>569</v>
      </c>
      <c r="D36" s="234">
        <v>84000</v>
      </c>
      <c r="E36" s="235">
        <v>3</v>
      </c>
    </row>
    <row r="37" spans="1:5">
      <c r="A37" s="232" t="s">
        <v>602</v>
      </c>
      <c r="B37" s="233" t="s">
        <v>568</v>
      </c>
      <c r="C37" s="233" t="s">
        <v>561</v>
      </c>
      <c r="D37" s="234">
        <v>92000</v>
      </c>
      <c r="E37" s="235">
        <v>6</v>
      </c>
    </row>
    <row r="38" spans="1:5">
      <c r="A38" s="232" t="s">
        <v>603</v>
      </c>
      <c r="B38" s="233" t="s">
        <v>251</v>
      </c>
      <c r="C38" s="233" t="s">
        <v>71</v>
      </c>
      <c r="D38" s="234">
        <v>68000</v>
      </c>
      <c r="E38" s="235">
        <v>7</v>
      </c>
    </row>
    <row r="39" spans="1:5">
      <c r="A39" s="232" t="s">
        <v>604</v>
      </c>
      <c r="B39" s="233" t="s">
        <v>568</v>
      </c>
      <c r="C39" s="233" t="s">
        <v>71</v>
      </c>
      <c r="D39" s="234">
        <v>136000</v>
      </c>
      <c r="E39" s="235">
        <v>5</v>
      </c>
    </row>
    <row r="40" spans="1:5">
      <c r="A40" s="232" t="s">
        <v>605</v>
      </c>
      <c r="B40" s="233" t="s">
        <v>563</v>
      </c>
      <c r="C40" s="233" t="s">
        <v>561</v>
      </c>
      <c r="D40" s="234">
        <v>100000</v>
      </c>
      <c r="E40" s="235">
        <v>5</v>
      </c>
    </row>
    <row r="41" spans="1:5">
      <c r="A41" s="232" t="s">
        <v>606</v>
      </c>
      <c r="B41" s="233" t="s">
        <v>266</v>
      </c>
      <c r="C41" s="233" t="s">
        <v>571</v>
      </c>
      <c r="D41" s="234">
        <v>72000</v>
      </c>
      <c r="E41" s="235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8"/>
  <dimension ref="A2:V291"/>
  <sheetViews>
    <sheetView showGridLines="0" workbookViewId="0">
      <selection activeCell="G4" sqref="G4"/>
    </sheetView>
  </sheetViews>
  <sheetFormatPr defaultColWidth="8" defaultRowHeight="12.75"/>
  <cols>
    <col min="1" max="1" width="12" style="1" customWidth="1"/>
    <col min="2" max="2" width="12.28515625" style="1" customWidth="1"/>
    <col min="3" max="3" width="12.42578125" style="1" customWidth="1"/>
    <col min="4" max="4" width="10.28515625" style="1" bestFit="1" customWidth="1"/>
    <col min="5" max="5" width="9.7109375" style="1" customWidth="1"/>
    <col min="6" max="6" width="11" style="1" customWidth="1"/>
    <col min="7" max="7" width="26.28515625" style="73" customWidth="1"/>
    <col min="8" max="8" width="16.42578125" style="73" customWidth="1"/>
    <col min="9" max="9" width="13.28515625" style="73" customWidth="1"/>
    <col min="10" max="10" width="25.42578125" style="73" customWidth="1"/>
    <col min="11" max="11" width="19.28515625" style="73" customWidth="1"/>
    <col min="12" max="21" width="8" style="73" customWidth="1"/>
    <col min="22" max="22" width="11.42578125" style="73" customWidth="1"/>
    <col min="23" max="16384" width="8" style="73"/>
  </cols>
  <sheetData>
    <row r="2" spans="1:22" ht="63.75">
      <c r="G2" s="83" t="s">
        <v>515</v>
      </c>
      <c r="H2" s="125" t="s">
        <v>485</v>
      </c>
      <c r="I2" s="214" t="s">
        <v>510</v>
      </c>
      <c r="J2" s="74" t="s">
        <v>484</v>
      </c>
      <c r="K2" s="125" t="s">
        <v>511</v>
      </c>
    </row>
    <row r="3" spans="1:22" ht="15">
      <c r="A3" s="195" t="s">
        <v>481</v>
      </c>
      <c r="B3" s="195" t="s">
        <v>39</v>
      </c>
      <c r="C3" s="195" t="s">
        <v>460</v>
      </c>
      <c r="D3" s="195" t="s">
        <v>282</v>
      </c>
      <c r="E3" s="195" t="s">
        <v>482</v>
      </c>
      <c r="F3" s="195" t="s">
        <v>71</v>
      </c>
      <c r="G3" s="195" t="s">
        <v>483</v>
      </c>
      <c r="H3" s="195" t="s">
        <v>323</v>
      </c>
      <c r="I3" s="195" t="s">
        <v>458</v>
      </c>
      <c r="J3" s="195" t="s">
        <v>269</v>
      </c>
      <c r="K3" s="195" t="s">
        <v>486</v>
      </c>
    </row>
    <row r="4" spans="1:22" ht="23.25">
      <c r="A4" s="196">
        <v>1</v>
      </c>
      <c r="B4" s="196" t="s">
        <v>462</v>
      </c>
      <c r="C4" s="196" t="s">
        <v>463</v>
      </c>
      <c r="D4" s="196" t="s">
        <v>346</v>
      </c>
      <c r="E4" s="197">
        <v>41947</v>
      </c>
      <c r="F4" s="196">
        <v>16228</v>
      </c>
      <c r="G4" s="211"/>
      <c r="H4" s="211"/>
      <c r="I4" s="211"/>
      <c r="J4" s="211"/>
      <c r="K4" s="211"/>
    </row>
    <row r="5" spans="1:22" ht="23.25">
      <c r="A5" s="196">
        <v>2</v>
      </c>
      <c r="B5" s="196" t="s">
        <v>464</v>
      </c>
      <c r="C5" s="196" t="s">
        <v>463</v>
      </c>
      <c r="D5" s="196" t="s">
        <v>348</v>
      </c>
      <c r="E5" s="197">
        <v>42310</v>
      </c>
      <c r="F5" s="196">
        <v>27252</v>
      </c>
      <c r="G5" s="211"/>
      <c r="H5" s="211"/>
      <c r="I5" s="211"/>
      <c r="J5" s="211"/>
      <c r="K5" s="211"/>
    </row>
    <row r="6" spans="1:22" ht="23.25">
      <c r="A6" s="196">
        <v>3</v>
      </c>
      <c r="B6" s="196" t="s">
        <v>464</v>
      </c>
      <c r="C6" s="196" t="s">
        <v>465</v>
      </c>
      <c r="D6" s="196" t="s">
        <v>466</v>
      </c>
      <c r="E6" s="197">
        <v>42775</v>
      </c>
      <c r="F6" s="196">
        <v>19349</v>
      </c>
      <c r="G6" s="211"/>
      <c r="H6" s="211"/>
      <c r="I6" s="211"/>
      <c r="J6" s="211"/>
      <c r="K6" s="211"/>
    </row>
    <row r="7" spans="1:22" ht="23.25">
      <c r="A7" s="196">
        <v>4</v>
      </c>
      <c r="B7" s="196" t="s">
        <v>467</v>
      </c>
      <c r="C7" s="196" t="s">
        <v>468</v>
      </c>
      <c r="D7" s="196" t="s">
        <v>344</v>
      </c>
      <c r="E7" s="197">
        <v>42312</v>
      </c>
      <c r="F7" s="196">
        <v>20537</v>
      </c>
      <c r="G7" s="211"/>
      <c r="H7" s="211"/>
      <c r="I7" s="211"/>
      <c r="J7" s="211"/>
      <c r="K7" s="211"/>
    </row>
    <row r="8" spans="1:22" ht="23.25">
      <c r="A8" s="196">
        <v>5</v>
      </c>
      <c r="B8" s="196" t="s">
        <v>469</v>
      </c>
      <c r="C8" s="196" t="s">
        <v>470</v>
      </c>
      <c r="D8" s="196" t="s">
        <v>466</v>
      </c>
      <c r="E8" s="197">
        <v>42152</v>
      </c>
      <c r="F8" s="196">
        <v>28105</v>
      </c>
      <c r="G8" s="211"/>
      <c r="H8" s="211"/>
      <c r="I8" s="211"/>
      <c r="J8" s="211"/>
      <c r="K8" s="211"/>
    </row>
    <row r="9" spans="1:22" ht="23.25">
      <c r="A9" s="196">
        <v>6</v>
      </c>
      <c r="B9" s="196" t="s">
        <v>469</v>
      </c>
      <c r="C9" s="196" t="s">
        <v>468</v>
      </c>
      <c r="D9" s="196" t="s">
        <v>344</v>
      </c>
      <c r="E9" s="197">
        <v>42259</v>
      </c>
      <c r="F9" s="196">
        <v>13927</v>
      </c>
      <c r="G9" s="211"/>
      <c r="H9" s="211"/>
      <c r="I9" s="211"/>
      <c r="J9" s="211"/>
      <c r="K9" s="211"/>
    </row>
    <row r="10" spans="1:22" ht="23.25">
      <c r="A10" s="196">
        <v>7</v>
      </c>
      <c r="B10" s="196" t="s">
        <v>471</v>
      </c>
      <c r="C10" s="196" t="s">
        <v>463</v>
      </c>
      <c r="D10" s="196" t="s">
        <v>472</v>
      </c>
      <c r="E10" s="197">
        <v>42099</v>
      </c>
      <c r="F10" s="196">
        <v>5140</v>
      </c>
      <c r="G10" s="211"/>
      <c r="H10" s="211"/>
      <c r="I10" s="211"/>
      <c r="J10" s="211"/>
      <c r="K10" s="211"/>
    </row>
    <row r="11" spans="1:22" ht="23.25">
      <c r="A11" s="196">
        <v>8</v>
      </c>
      <c r="B11" s="196" t="s">
        <v>473</v>
      </c>
      <c r="C11" s="196" t="s">
        <v>470</v>
      </c>
      <c r="D11" s="196" t="s">
        <v>348</v>
      </c>
      <c r="E11" s="197">
        <v>42353</v>
      </c>
      <c r="F11" s="196">
        <v>18819</v>
      </c>
      <c r="G11" s="211"/>
      <c r="H11" s="211"/>
      <c r="I11" s="211"/>
      <c r="J11" s="211"/>
      <c r="K11" s="211"/>
      <c r="M11" s="67"/>
      <c r="T11" s="67"/>
      <c r="U11" s="67"/>
      <c r="V11" s="67"/>
    </row>
    <row r="12" spans="1:22" ht="23.25">
      <c r="A12" s="196">
        <v>9</v>
      </c>
      <c r="B12" s="196" t="s">
        <v>469</v>
      </c>
      <c r="C12" s="196" t="s">
        <v>470</v>
      </c>
      <c r="D12" s="196" t="s">
        <v>348</v>
      </c>
      <c r="E12" s="197">
        <v>42506</v>
      </c>
      <c r="F12" s="196">
        <v>29774</v>
      </c>
      <c r="G12" s="211"/>
      <c r="H12" s="211"/>
      <c r="I12" s="211"/>
      <c r="J12" s="211"/>
      <c r="K12" s="211"/>
      <c r="T12" s="70"/>
      <c r="V12" s="75"/>
    </row>
    <row r="13" spans="1:22" ht="23.25">
      <c r="A13" s="196">
        <v>10</v>
      </c>
      <c r="B13" s="196" t="s">
        <v>467</v>
      </c>
      <c r="C13" s="196" t="s">
        <v>465</v>
      </c>
      <c r="D13" s="196" t="s">
        <v>474</v>
      </c>
      <c r="E13" s="197">
        <v>42202</v>
      </c>
      <c r="F13" s="196">
        <v>25399</v>
      </c>
      <c r="G13" s="211"/>
      <c r="H13" s="211"/>
      <c r="I13" s="211"/>
      <c r="J13" s="211"/>
      <c r="K13" s="211"/>
      <c r="T13" s="70"/>
      <c r="V13" s="75"/>
    </row>
    <row r="14" spans="1:22" ht="23.25">
      <c r="A14" s="196">
        <v>11</v>
      </c>
      <c r="B14" s="196" t="s">
        <v>471</v>
      </c>
      <c r="C14" s="196" t="s">
        <v>465</v>
      </c>
      <c r="D14" s="196" t="s">
        <v>474</v>
      </c>
      <c r="E14" s="197">
        <v>42119</v>
      </c>
      <c r="F14" s="196">
        <v>8513</v>
      </c>
      <c r="G14" s="211"/>
      <c r="H14" s="211"/>
      <c r="I14" s="211"/>
      <c r="J14" s="211"/>
      <c r="K14" s="211"/>
      <c r="T14" s="70"/>
      <c r="V14" s="75"/>
    </row>
    <row r="15" spans="1:22" ht="23.25">
      <c r="A15" s="196">
        <v>12</v>
      </c>
      <c r="B15" s="196" t="s">
        <v>464</v>
      </c>
      <c r="C15" s="196" t="s">
        <v>468</v>
      </c>
      <c r="D15" s="196" t="s">
        <v>344</v>
      </c>
      <c r="E15" s="197">
        <v>42839</v>
      </c>
      <c r="F15" s="196">
        <v>4010</v>
      </c>
      <c r="G15" s="211"/>
      <c r="H15" s="211"/>
      <c r="I15" s="211"/>
      <c r="J15" s="211"/>
      <c r="K15" s="211"/>
      <c r="M15" s="76"/>
      <c r="T15" s="79"/>
      <c r="U15" s="76"/>
      <c r="V15" s="80"/>
    </row>
    <row r="16" spans="1:22" ht="23.25">
      <c r="A16" s="196">
        <v>13</v>
      </c>
      <c r="B16" s="196" t="s">
        <v>473</v>
      </c>
      <c r="C16" s="196" t="s">
        <v>468</v>
      </c>
      <c r="D16" s="196" t="s">
        <v>475</v>
      </c>
      <c r="E16" s="197">
        <v>42658</v>
      </c>
      <c r="F16" s="196">
        <v>4088</v>
      </c>
      <c r="G16" s="211"/>
      <c r="H16" s="211"/>
      <c r="I16" s="211"/>
      <c r="J16" s="211"/>
      <c r="K16" s="211"/>
      <c r="T16" s="70"/>
      <c r="V16" s="75"/>
    </row>
    <row r="17" spans="1:22" ht="23.25">
      <c r="A17" s="196">
        <v>14</v>
      </c>
      <c r="B17" s="196" t="s">
        <v>464</v>
      </c>
      <c r="C17" s="196" t="s">
        <v>470</v>
      </c>
      <c r="D17" s="196" t="s">
        <v>339</v>
      </c>
      <c r="E17" s="197">
        <v>42003</v>
      </c>
      <c r="F17" s="196">
        <v>5909</v>
      </c>
      <c r="G17" s="211"/>
      <c r="H17" s="211"/>
      <c r="I17" s="211"/>
      <c r="J17" s="211"/>
      <c r="K17" s="211"/>
      <c r="T17" s="70"/>
      <c r="V17" s="75"/>
    </row>
    <row r="18" spans="1:22" ht="23.25">
      <c r="A18" s="196">
        <v>15</v>
      </c>
      <c r="B18" s="196" t="s">
        <v>467</v>
      </c>
      <c r="C18" s="196" t="s">
        <v>468</v>
      </c>
      <c r="D18" s="196" t="s">
        <v>476</v>
      </c>
      <c r="E18" s="197">
        <v>42648</v>
      </c>
      <c r="F18" s="196">
        <v>11633</v>
      </c>
      <c r="G18" s="211"/>
      <c r="H18" s="211"/>
      <c r="I18" s="211"/>
      <c r="J18" s="211"/>
      <c r="K18" s="211"/>
      <c r="M18" s="76"/>
      <c r="O18" s="76"/>
      <c r="P18" s="77"/>
      <c r="Q18" s="78"/>
      <c r="R18" s="79"/>
      <c r="S18" s="79"/>
      <c r="T18" s="79"/>
      <c r="U18" s="76"/>
      <c r="V18" s="80"/>
    </row>
    <row r="19" spans="1:22" ht="23.25">
      <c r="A19" s="196">
        <v>16</v>
      </c>
      <c r="B19" s="196" t="s">
        <v>464</v>
      </c>
      <c r="C19" s="196" t="s">
        <v>463</v>
      </c>
      <c r="D19" s="196" t="s">
        <v>346</v>
      </c>
      <c r="E19" s="197">
        <v>42357</v>
      </c>
      <c r="F19" s="196">
        <v>29578</v>
      </c>
      <c r="G19" s="211"/>
      <c r="H19" s="211"/>
      <c r="I19" s="211"/>
      <c r="J19" s="211"/>
      <c r="K19" s="211"/>
      <c r="P19" s="68"/>
      <c r="Q19" s="69"/>
      <c r="R19" s="70"/>
      <c r="S19" s="70"/>
      <c r="T19" s="70"/>
      <c r="V19" s="75"/>
    </row>
    <row r="20" spans="1:22" ht="23.25">
      <c r="A20" s="196">
        <v>17</v>
      </c>
      <c r="B20" s="196" t="s">
        <v>467</v>
      </c>
      <c r="C20" s="196" t="s">
        <v>468</v>
      </c>
      <c r="D20" s="196" t="s">
        <v>475</v>
      </c>
      <c r="E20" s="197">
        <v>42457</v>
      </c>
      <c r="F20" s="196">
        <v>20032</v>
      </c>
      <c r="G20" s="211"/>
      <c r="H20" s="211"/>
      <c r="I20" s="211"/>
      <c r="J20" s="211"/>
      <c r="K20" s="211"/>
      <c r="P20" s="68"/>
      <c r="Q20" s="69"/>
      <c r="R20" s="70"/>
      <c r="S20" s="70"/>
      <c r="T20" s="70"/>
      <c r="V20" s="75"/>
    </row>
    <row r="21" spans="1:22" ht="23.25">
      <c r="A21" s="196">
        <v>18</v>
      </c>
      <c r="B21" s="196" t="s">
        <v>464</v>
      </c>
      <c r="C21" s="196" t="s">
        <v>463</v>
      </c>
      <c r="D21" s="196" t="s">
        <v>476</v>
      </c>
      <c r="E21" s="197">
        <v>42626</v>
      </c>
      <c r="F21" s="196">
        <v>2237</v>
      </c>
      <c r="G21" s="211"/>
      <c r="H21" s="211"/>
      <c r="I21" s="211"/>
      <c r="J21" s="211"/>
      <c r="K21" s="211"/>
      <c r="P21" s="68"/>
      <c r="Q21" s="69"/>
      <c r="R21" s="70"/>
      <c r="S21" s="70"/>
      <c r="T21" s="70"/>
      <c r="V21" s="75"/>
    </row>
    <row r="22" spans="1:22" s="76" customFormat="1" ht="23.25">
      <c r="A22" s="196">
        <v>19</v>
      </c>
      <c r="B22" s="196" t="s">
        <v>467</v>
      </c>
      <c r="C22" s="196" t="s">
        <v>463</v>
      </c>
      <c r="D22" s="196" t="s">
        <v>346</v>
      </c>
      <c r="E22" s="197">
        <v>42113</v>
      </c>
      <c r="F22" s="196">
        <v>11685</v>
      </c>
      <c r="G22" s="211"/>
      <c r="H22" s="211"/>
      <c r="I22" s="211"/>
      <c r="J22" s="211"/>
      <c r="K22" s="211"/>
      <c r="L22" s="73"/>
      <c r="N22" s="73"/>
      <c r="P22" s="77"/>
      <c r="Q22" s="78"/>
      <c r="R22" s="79"/>
      <c r="T22" s="79"/>
      <c r="V22" s="80"/>
    </row>
    <row r="23" spans="1:22" ht="23.25">
      <c r="A23" s="196">
        <v>20</v>
      </c>
      <c r="B23" s="196" t="s">
        <v>469</v>
      </c>
      <c r="C23" s="196" t="s">
        <v>465</v>
      </c>
      <c r="D23" s="196" t="s">
        <v>474</v>
      </c>
      <c r="E23" s="197">
        <v>42876</v>
      </c>
      <c r="F23" s="196">
        <v>2337</v>
      </c>
      <c r="G23" s="211"/>
      <c r="H23" s="211"/>
      <c r="I23" s="211"/>
      <c r="J23" s="211"/>
      <c r="K23" s="211"/>
      <c r="M23" s="76"/>
      <c r="O23" s="76"/>
      <c r="P23" s="77"/>
      <c r="Q23" s="78"/>
      <c r="R23" s="79"/>
      <c r="S23" s="79"/>
      <c r="T23" s="79"/>
      <c r="U23" s="76"/>
      <c r="V23" s="80"/>
    </row>
    <row r="24" spans="1:22" ht="23.25">
      <c r="A24" s="196">
        <v>21</v>
      </c>
      <c r="B24" s="196" t="s">
        <v>471</v>
      </c>
      <c r="C24" s="196" t="s">
        <v>468</v>
      </c>
      <c r="D24" s="196" t="s">
        <v>474</v>
      </c>
      <c r="E24" s="197">
        <v>42645</v>
      </c>
      <c r="F24" s="196">
        <v>16653</v>
      </c>
      <c r="G24" s="211"/>
      <c r="H24" s="211"/>
      <c r="I24" s="211"/>
      <c r="J24" s="211"/>
      <c r="K24" s="211"/>
      <c r="P24" s="68"/>
      <c r="Q24" s="69"/>
      <c r="R24" s="70"/>
      <c r="S24" s="70"/>
      <c r="T24" s="70"/>
      <c r="V24" s="75"/>
    </row>
    <row r="25" spans="1:22" ht="23.25">
      <c r="A25" s="196">
        <v>22</v>
      </c>
      <c r="B25" s="196" t="s">
        <v>469</v>
      </c>
      <c r="C25" s="196" t="s">
        <v>463</v>
      </c>
      <c r="D25" s="196" t="s">
        <v>466</v>
      </c>
      <c r="E25" s="197">
        <v>42610</v>
      </c>
      <c r="F25" s="196">
        <v>2715</v>
      </c>
      <c r="G25" s="211"/>
      <c r="H25" s="211"/>
      <c r="I25" s="211"/>
      <c r="J25" s="211"/>
      <c r="K25" s="211"/>
      <c r="M25" s="76"/>
      <c r="O25" s="76"/>
      <c r="P25" s="77"/>
      <c r="Q25" s="78"/>
      <c r="R25" s="79"/>
      <c r="S25" s="79"/>
      <c r="T25" s="79"/>
      <c r="U25" s="76"/>
      <c r="V25" s="80"/>
    </row>
    <row r="26" spans="1:22" ht="23.25">
      <c r="A26" s="196">
        <v>23</v>
      </c>
      <c r="B26" s="196" t="s">
        <v>464</v>
      </c>
      <c r="C26" s="196" t="s">
        <v>465</v>
      </c>
      <c r="D26" s="196" t="s">
        <v>350</v>
      </c>
      <c r="E26" s="197">
        <v>42805</v>
      </c>
      <c r="F26" s="196">
        <v>25914</v>
      </c>
      <c r="G26" s="211"/>
      <c r="H26" s="211"/>
      <c r="I26" s="211"/>
      <c r="J26" s="211"/>
      <c r="K26" s="211"/>
      <c r="P26" s="68"/>
      <c r="Q26" s="69"/>
      <c r="R26" s="70"/>
      <c r="S26" s="70"/>
      <c r="T26" s="70"/>
      <c r="V26" s="75"/>
    </row>
    <row r="27" spans="1:22" ht="23.25">
      <c r="A27" s="196">
        <v>24</v>
      </c>
      <c r="B27" s="196" t="s">
        <v>471</v>
      </c>
      <c r="C27" s="196" t="s">
        <v>468</v>
      </c>
      <c r="D27" s="196" t="s">
        <v>472</v>
      </c>
      <c r="E27" s="197">
        <v>42480</v>
      </c>
      <c r="F27" s="196">
        <v>1801</v>
      </c>
      <c r="G27" s="211"/>
      <c r="H27" s="211"/>
      <c r="I27" s="211"/>
      <c r="J27" s="211"/>
      <c r="K27" s="211"/>
      <c r="P27" s="68"/>
      <c r="Q27" s="69"/>
      <c r="R27" s="70"/>
      <c r="S27" s="70"/>
      <c r="T27" s="70"/>
      <c r="V27" s="75"/>
    </row>
    <row r="28" spans="1:22" ht="23.25">
      <c r="A28" s="196">
        <v>25</v>
      </c>
      <c r="B28" s="196" t="s">
        <v>464</v>
      </c>
      <c r="C28" s="196" t="s">
        <v>465</v>
      </c>
      <c r="D28" s="196" t="s">
        <v>475</v>
      </c>
      <c r="E28" s="197">
        <v>42822</v>
      </c>
      <c r="F28" s="196">
        <v>18599</v>
      </c>
      <c r="G28" s="211"/>
      <c r="H28" s="211"/>
      <c r="I28" s="211"/>
      <c r="J28" s="211"/>
      <c r="K28" s="211"/>
      <c r="P28" s="68"/>
      <c r="Q28" s="69"/>
      <c r="R28" s="70"/>
      <c r="S28" s="70"/>
      <c r="T28" s="70"/>
      <c r="V28" s="75"/>
    </row>
    <row r="29" spans="1:22" ht="23.25">
      <c r="A29" s="196">
        <v>26</v>
      </c>
      <c r="B29" s="196" t="s">
        <v>464</v>
      </c>
      <c r="C29" s="196" t="s">
        <v>468</v>
      </c>
      <c r="D29" s="196" t="s">
        <v>477</v>
      </c>
      <c r="E29" s="197">
        <v>41940</v>
      </c>
      <c r="F29" s="196">
        <v>16937</v>
      </c>
      <c r="G29" s="211"/>
      <c r="H29" s="211"/>
      <c r="I29" s="211"/>
      <c r="J29" s="211"/>
      <c r="K29" s="211"/>
      <c r="P29" s="68"/>
      <c r="Q29" s="69"/>
      <c r="R29" s="70"/>
      <c r="S29" s="70"/>
      <c r="T29" s="70"/>
      <c r="V29" s="75"/>
    </row>
    <row r="30" spans="1:22" ht="23.25">
      <c r="A30" s="196">
        <v>27</v>
      </c>
      <c r="B30" s="196" t="s">
        <v>467</v>
      </c>
      <c r="C30" s="196" t="s">
        <v>465</v>
      </c>
      <c r="D30" s="196" t="s">
        <v>478</v>
      </c>
      <c r="E30" s="197">
        <v>42405</v>
      </c>
      <c r="F30" s="196">
        <v>26837</v>
      </c>
      <c r="G30" s="211"/>
      <c r="H30" s="211"/>
      <c r="I30" s="211"/>
      <c r="J30" s="211"/>
      <c r="K30" s="211"/>
      <c r="P30" s="68"/>
      <c r="Q30" s="69"/>
      <c r="R30" s="70"/>
      <c r="S30" s="70"/>
      <c r="T30" s="70"/>
      <c r="V30" s="75"/>
    </row>
    <row r="31" spans="1:22" ht="23.25">
      <c r="A31" s="196">
        <v>28</v>
      </c>
      <c r="B31" s="196" t="s">
        <v>469</v>
      </c>
      <c r="C31" s="196" t="s">
        <v>465</v>
      </c>
      <c r="D31" s="196" t="s">
        <v>475</v>
      </c>
      <c r="E31" s="197">
        <v>42045</v>
      </c>
      <c r="F31" s="196">
        <v>9655</v>
      </c>
      <c r="G31" s="211"/>
      <c r="H31" s="211"/>
      <c r="I31" s="211"/>
      <c r="J31" s="211"/>
      <c r="K31" s="211"/>
      <c r="P31" s="68"/>
      <c r="Q31" s="69"/>
      <c r="R31" s="70"/>
      <c r="S31" s="70"/>
      <c r="T31" s="70"/>
      <c r="V31" s="75"/>
    </row>
    <row r="32" spans="1:22" ht="23.25">
      <c r="A32" s="196">
        <v>29</v>
      </c>
      <c r="B32" s="196" t="s">
        <v>462</v>
      </c>
      <c r="C32" s="196" t="s">
        <v>468</v>
      </c>
      <c r="D32" s="196" t="s">
        <v>475</v>
      </c>
      <c r="E32" s="197">
        <v>42632</v>
      </c>
      <c r="F32" s="196">
        <v>12681</v>
      </c>
      <c r="G32" s="211"/>
      <c r="H32" s="211"/>
      <c r="I32" s="211"/>
      <c r="J32" s="211"/>
      <c r="K32" s="211"/>
      <c r="P32" s="68"/>
      <c r="Q32" s="69"/>
      <c r="R32" s="70"/>
      <c r="S32" s="70"/>
      <c r="T32" s="70"/>
      <c r="V32" s="75"/>
    </row>
    <row r="33" spans="1:22" ht="23.25">
      <c r="A33" s="196">
        <v>30</v>
      </c>
      <c r="B33" s="196" t="s">
        <v>464</v>
      </c>
      <c r="C33" s="196" t="s">
        <v>470</v>
      </c>
      <c r="D33" s="196" t="s">
        <v>339</v>
      </c>
      <c r="E33" s="197">
        <v>42239</v>
      </c>
      <c r="F33" s="196">
        <v>19718</v>
      </c>
      <c r="G33" s="211"/>
      <c r="H33" s="211"/>
      <c r="I33" s="211"/>
      <c r="J33" s="211"/>
      <c r="K33" s="211"/>
      <c r="P33" s="68"/>
      <c r="Q33" s="69"/>
      <c r="R33" s="70"/>
      <c r="S33" s="70"/>
      <c r="T33" s="70"/>
      <c r="V33" s="75"/>
    </row>
    <row r="34" spans="1:22" ht="23.25">
      <c r="A34" s="196">
        <v>31</v>
      </c>
      <c r="B34" s="196" t="s">
        <v>469</v>
      </c>
      <c r="C34" s="196" t="s">
        <v>468</v>
      </c>
      <c r="D34" s="196" t="s">
        <v>476</v>
      </c>
      <c r="E34" s="197">
        <v>42324</v>
      </c>
      <c r="F34" s="196">
        <v>6117</v>
      </c>
      <c r="G34" s="211"/>
      <c r="H34" s="211"/>
      <c r="I34" s="211"/>
      <c r="J34" s="211"/>
      <c r="K34" s="211"/>
      <c r="P34" s="68"/>
      <c r="Q34" s="69"/>
      <c r="R34" s="70"/>
      <c r="S34" s="70"/>
      <c r="T34" s="70"/>
      <c r="V34" s="75"/>
    </row>
    <row r="35" spans="1:22" ht="23.25">
      <c r="A35" s="196">
        <v>32</v>
      </c>
      <c r="B35" s="196" t="s">
        <v>473</v>
      </c>
      <c r="C35" s="196" t="s">
        <v>465</v>
      </c>
      <c r="D35" s="196" t="s">
        <v>479</v>
      </c>
      <c r="E35" s="197">
        <v>42844</v>
      </c>
      <c r="F35" s="196">
        <v>6398</v>
      </c>
      <c r="G35" s="211"/>
      <c r="H35" s="211"/>
      <c r="I35" s="211"/>
      <c r="J35" s="211"/>
      <c r="K35" s="211"/>
      <c r="P35" s="68"/>
      <c r="Q35" s="69"/>
      <c r="R35" s="70"/>
      <c r="S35" s="70"/>
      <c r="T35" s="70"/>
      <c r="V35" s="75"/>
    </row>
    <row r="36" spans="1:22" ht="23.25">
      <c r="A36" s="196">
        <v>33</v>
      </c>
      <c r="B36" s="196" t="s">
        <v>464</v>
      </c>
      <c r="C36" s="196" t="s">
        <v>470</v>
      </c>
      <c r="D36" s="196" t="s">
        <v>348</v>
      </c>
      <c r="E36" s="197">
        <v>42451</v>
      </c>
      <c r="F36" s="196">
        <v>15118</v>
      </c>
      <c r="G36" s="211"/>
      <c r="H36" s="211"/>
      <c r="I36" s="211"/>
      <c r="J36" s="211"/>
      <c r="K36" s="211"/>
      <c r="P36" s="68"/>
      <c r="Q36" s="69"/>
      <c r="R36" s="70"/>
      <c r="S36" s="70"/>
      <c r="T36" s="70"/>
      <c r="V36" s="75"/>
    </row>
    <row r="37" spans="1:22" ht="23.25">
      <c r="A37" s="196">
        <v>34</v>
      </c>
      <c r="B37" s="196" t="s">
        <v>462</v>
      </c>
      <c r="C37" s="196" t="s">
        <v>470</v>
      </c>
      <c r="D37" s="196" t="s">
        <v>344</v>
      </c>
      <c r="E37" s="197">
        <v>42591</v>
      </c>
      <c r="F37" s="196">
        <v>9449</v>
      </c>
      <c r="G37" s="211"/>
      <c r="H37" s="211"/>
      <c r="I37" s="211"/>
      <c r="J37" s="211"/>
      <c r="K37" s="211"/>
      <c r="P37" s="68"/>
      <c r="Q37" s="69"/>
      <c r="R37" s="70"/>
      <c r="S37" s="70"/>
      <c r="T37" s="70"/>
      <c r="V37" s="75"/>
    </row>
    <row r="38" spans="1:22" s="76" customFormat="1" ht="23.25">
      <c r="A38" s="196">
        <v>35</v>
      </c>
      <c r="B38" s="196" t="s">
        <v>464</v>
      </c>
      <c r="C38" s="196" t="s">
        <v>463</v>
      </c>
      <c r="D38" s="196" t="s">
        <v>466</v>
      </c>
      <c r="E38" s="197">
        <v>42869</v>
      </c>
      <c r="F38" s="196">
        <v>19181</v>
      </c>
      <c r="G38" s="211"/>
      <c r="H38" s="211"/>
      <c r="I38" s="211"/>
      <c r="J38" s="211"/>
      <c r="K38" s="211"/>
      <c r="L38" s="73"/>
      <c r="M38" s="73"/>
      <c r="N38" s="73"/>
      <c r="O38" s="73"/>
      <c r="P38" s="68"/>
      <c r="Q38" s="69"/>
      <c r="R38" s="70"/>
      <c r="S38" s="70"/>
      <c r="T38" s="70"/>
      <c r="U38" s="73"/>
      <c r="V38" s="75"/>
    </row>
    <row r="39" spans="1:22" s="76" customFormat="1" ht="23.25">
      <c r="A39" s="196">
        <v>36</v>
      </c>
      <c r="B39" s="196" t="s">
        <v>467</v>
      </c>
      <c r="C39" s="196" t="s">
        <v>470</v>
      </c>
      <c r="D39" s="196" t="s">
        <v>348</v>
      </c>
      <c r="E39" s="197">
        <v>42207</v>
      </c>
      <c r="F39" s="196">
        <v>20903</v>
      </c>
      <c r="G39" s="211"/>
      <c r="H39" s="211"/>
      <c r="I39" s="211"/>
      <c r="J39" s="211"/>
      <c r="K39" s="211"/>
      <c r="L39" s="73"/>
      <c r="M39" s="73"/>
      <c r="N39" s="73"/>
      <c r="O39" s="73"/>
      <c r="P39" s="68"/>
      <c r="Q39" s="69"/>
      <c r="R39" s="70"/>
      <c r="S39" s="70"/>
      <c r="T39" s="70"/>
      <c r="U39" s="73"/>
      <c r="V39" s="75"/>
    </row>
    <row r="40" spans="1:22" ht="23.25">
      <c r="A40" s="196">
        <v>37</v>
      </c>
      <c r="B40" s="196" t="s">
        <v>467</v>
      </c>
      <c r="C40" s="196" t="s">
        <v>465</v>
      </c>
      <c r="D40" s="196" t="s">
        <v>479</v>
      </c>
      <c r="E40" s="197">
        <v>42486</v>
      </c>
      <c r="F40" s="196">
        <v>12607</v>
      </c>
      <c r="G40" s="211"/>
      <c r="H40" s="211"/>
      <c r="I40" s="211"/>
      <c r="J40" s="211"/>
      <c r="K40" s="211"/>
      <c r="P40" s="68"/>
      <c r="Q40" s="69"/>
      <c r="R40" s="70"/>
      <c r="S40" s="70"/>
      <c r="T40" s="70"/>
      <c r="V40" s="75"/>
    </row>
    <row r="41" spans="1:22" ht="23.25">
      <c r="A41" s="196">
        <v>38</v>
      </c>
      <c r="B41" s="196" t="s">
        <v>464</v>
      </c>
      <c r="C41" s="196" t="s">
        <v>465</v>
      </c>
      <c r="D41" s="196" t="s">
        <v>474</v>
      </c>
      <c r="E41" s="197">
        <v>41964</v>
      </c>
      <c r="F41" s="196">
        <v>29402</v>
      </c>
      <c r="G41" s="211"/>
      <c r="H41" s="211"/>
      <c r="I41" s="211"/>
      <c r="J41" s="211"/>
      <c r="K41" s="211"/>
      <c r="P41" s="68"/>
      <c r="Q41" s="69"/>
      <c r="R41" s="70"/>
      <c r="S41" s="70"/>
      <c r="T41" s="70"/>
      <c r="V41" s="75"/>
    </row>
    <row r="42" spans="1:22" ht="23.25">
      <c r="A42" s="196">
        <v>39</v>
      </c>
      <c r="B42" s="196" t="s">
        <v>471</v>
      </c>
      <c r="C42" s="196" t="s">
        <v>463</v>
      </c>
      <c r="D42" s="196" t="s">
        <v>466</v>
      </c>
      <c r="E42" s="197">
        <v>42226</v>
      </c>
      <c r="F42" s="196">
        <v>16966</v>
      </c>
      <c r="G42" s="211"/>
      <c r="H42" s="211"/>
      <c r="I42" s="211"/>
      <c r="J42" s="211"/>
      <c r="K42" s="211"/>
      <c r="L42" s="76"/>
      <c r="M42" s="76"/>
      <c r="O42" s="76"/>
      <c r="P42" s="77"/>
      <c r="Q42" s="78"/>
      <c r="R42" s="79"/>
      <c r="S42" s="79"/>
      <c r="T42" s="79"/>
      <c r="U42" s="76"/>
      <c r="V42" s="80"/>
    </row>
    <row r="43" spans="1:22" ht="23.25">
      <c r="A43" s="196">
        <v>40</v>
      </c>
      <c r="B43" s="196" t="s">
        <v>464</v>
      </c>
      <c r="C43" s="196" t="s">
        <v>470</v>
      </c>
      <c r="D43" s="196" t="s">
        <v>344</v>
      </c>
      <c r="E43" s="197">
        <v>42455</v>
      </c>
      <c r="F43" s="196">
        <v>15216</v>
      </c>
      <c r="G43" s="211"/>
      <c r="H43" s="211"/>
      <c r="I43" s="211"/>
      <c r="J43" s="211"/>
      <c r="K43" s="211"/>
      <c r="P43" s="68"/>
      <c r="Q43" s="69"/>
      <c r="R43" s="70"/>
      <c r="T43" s="70"/>
      <c r="V43" s="75"/>
    </row>
    <row r="44" spans="1:22" ht="23.25">
      <c r="A44" s="196">
        <v>41</v>
      </c>
      <c r="B44" s="196" t="s">
        <v>469</v>
      </c>
      <c r="C44" s="196" t="s">
        <v>463</v>
      </c>
      <c r="D44" s="196" t="s">
        <v>477</v>
      </c>
      <c r="E44" s="197">
        <v>42505</v>
      </c>
      <c r="F44" s="196">
        <v>1137</v>
      </c>
      <c r="G44" s="211"/>
      <c r="H44" s="211"/>
      <c r="I44" s="211"/>
      <c r="J44" s="211"/>
      <c r="K44" s="211"/>
      <c r="P44" s="68"/>
      <c r="Q44" s="69"/>
      <c r="R44" s="70"/>
      <c r="S44" s="70"/>
      <c r="T44" s="70"/>
      <c r="V44" s="75"/>
    </row>
    <row r="45" spans="1:22" ht="23.25">
      <c r="A45" s="196">
        <v>42</v>
      </c>
      <c r="B45" s="196" t="s">
        <v>473</v>
      </c>
      <c r="C45" s="196" t="s">
        <v>465</v>
      </c>
      <c r="D45" s="196" t="s">
        <v>477</v>
      </c>
      <c r="E45" s="197">
        <v>42201</v>
      </c>
      <c r="F45" s="196">
        <v>1701</v>
      </c>
      <c r="G45" s="211"/>
      <c r="H45" s="211"/>
      <c r="I45" s="211"/>
      <c r="J45" s="211"/>
      <c r="K45" s="211"/>
      <c r="P45" s="68"/>
      <c r="Q45" s="69"/>
      <c r="R45" s="70"/>
      <c r="S45" s="70"/>
      <c r="T45" s="70"/>
      <c r="V45" s="75"/>
    </row>
    <row r="46" spans="1:22" ht="23.25">
      <c r="A46" s="196">
        <v>43</v>
      </c>
      <c r="B46" s="196" t="s">
        <v>462</v>
      </c>
      <c r="C46" s="196" t="s">
        <v>465</v>
      </c>
      <c r="D46" s="196" t="s">
        <v>479</v>
      </c>
      <c r="E46" s="197">
        <v>41977</v>
      </c>
      <c r="F46" s="196">
        <v>14359</v>
      </c>
      <c r="G46" s="211"/>
      <c r="H46" s="211"/>
      <c r="I46" s="211"/>
      <c r="J46" s="211"/>
      <c r="K46" s="211"/>
      <c r="P46" s="68"/>
      <c r="Q46" s="69"/>
      <c r="R46" s="70"/>
      <c r="S46" s="70"/>
      <c r="T46" s="70"/>
      <c r="V46" s="75"/>
    </row>
    <row r="47" spans="1:22" s="76" customFormat="1" ht="23.25">
      <c r="A47" s="196">
        <v>44</v>
      </c>
      <c r="B47" s="196" t="s">
        <v>473</v>
      </c>
      <c r="C47" s="196" t="s">
        <v>470</v>
      </c>
      <c r="D47" s="196" t="s">
        <v>480</v>
      </c>
      <c r="E47" s="197">
        <v>41913</v>
      </c>
      <c r="F47" s="196">
        <v>232</v>
      </c>
      <c r="G47" s="211"/>
      <c r="H47" s="211"/>
      <c r="I47" s="211"/>
      <c r="J47" s="211"/>
      <c r="K47" s="211"/>
      <c r="L47" s="73"/>
      <c r="M47" s="73"/>
      <c r="N47" s="73"/>
      <c r="O47" s="73"/>
      <c r="P47" s="68"/>
      <c r="Q47" s="69"/>
      <c r="R47" s="70"/>
      <c r="S47" s="70"/>
      <c r="T47" s="70"/>
      <c r="U47" s="73"/>
      <c r="V47" s="75"/>
    </row>
    <row r="48" spans="1:22" ht="23.25">
      <c r="A48" s="196">
        <v>45</v>
      </c>
      <c r="B48" s="196" t="s">
        <v>473</v>
      </c>
      <c r="C48" s="196" t="s">
        <v>468</v>
      </c>
      <c r="D48" s="196" t="s">
        <v>476</v>
      </c>
      <c r="E48" s="197">
        <v>42046</v>
      </c>
      <c r="F48" s="196">
        <v>17808</v>
      </c>
      <c r="G48" s="211"/>
      <c r="H48" s="211"/>
      <c r="I48" s="211"/>
      <c r="J48" s="211"/>
      <c r="K48" s="211"/>
      <c r="P48" s="68"/>
      <c r="Q48" s="69"/>
      <c r="R48" s="70"/>
      <c r="S48" s="70"/>
      <c r="T48" s="70"/>
      <c r="V48" s="75"/>
    </row>
    <row r="49" spans="1:22" ht="23.25">
      <c r="A49" s="196">
        <v>46</v>
      </c>
      <c r="B49" s="196" t="s">
        <v>469</v>
      </c>
      <c r="C49" s="196" t="s">
        <v>463</v>
      </c>
      <c r="D49" s="196" t="s">
        <v>348</v>
      </c>
      <c r="E49" s="197">
        <v>42827</v>
      </c>
      <c r="F49" s="196">
        <v>4714</v>
      </c>
      <c r="G49" s="211"/>
      <c r="H49" s="211"/>
      <c r="I49" s="211"/>
      <c r="J49" s="211"/>
      <c r="K49" s="211"/>
      <c r="P49" s="68"/>
      <c r="Q49" s="69"/>
      <c r="R49" s="70"/>
      <c r="S49" s="70"/>
      <c r="T49" s="70"/>
      <c r="V49" s="75"/>
    </row>
    <row r="50" spans="1:22" ht="23.25">
      <c r="A50" s="196">
        <v>47</v>
      </c>
      <c r="B50" s="196" t="s">
        <v>473</v>
      </c>
      <c r="C50" s="196" t="s">
        <v>463</v>
      </c>
      <c r="D50" s="196" t="s">
        <v>466</v>
      </c>
      <c r="E50" s="197">
        <v>41899</v>
      </c>
      <c r="F50" s="196">
        <v>16966</v>
      </c>
      <c r="G50" s="211"/>
      <c r="H50" s="211"/>
      <c r="I50" s="211"/>
      <c r="J50" s="211"/>
      <c r="K50" s="211"/>
      <c r="P50" s="68"/>
      <c r="Q50" s="69"/>
      <c r="R50" s="70"/>
      <c r="S50" s="70"/>
      <c r="T50" s="70"/>
      <c r="V50" s="75"/>
    </row>
    <row r="51" spans="1:22" ht="23.25">
      <c r="A51" s="196">
        <v>48</v>
      </c>
      <c r="B51" s="196" t="s">
        <v>462</v>
      </c>
      <c r="C51" s="196" t="s">
        <v>468</v>
      </c>
      <c r="D51" s="196" t="s">
        <v>476</v>
      </c>
      <c r="E51" s="197">
        <v>42526</v>
      </c>
      <c r="F51" s="196">
        <v>14283</v>
      </c>
      <c r="G51" s="211"/>
      <c r="H51" s="211"/>
      <c r="I51" s="211"/>
      <c r="J51" s="211"/>
      <c r="K51" s="211"/>
      <c r="P51" s="68"/>
      <c r="Q51" s="69"/>
      <c r="R51" s="70"/>
      <c r="S51" s="70"/>
      <c r="T51" s="70"/>
      <c r="V51" s="75"/>
    </row>
    <row r="52" spans="1:22" ht="23.25">
      <c r="A52" s="196">
        <v>49</v>
      </c>
      <c r="B52" s="196" t="s">
        <v>471</v>
      </c>
      <c r="C52" s="196" t="s">
        <v>463</v>
      </c>
      <c r="D52" s="196" t="s">
        <v>474</v>
      </c>
      <c r="E52" s="197">
        <v>42711</v>
      </c>
      <c r="F52" s="196">
        <v>1225</v>
      </c>
      <c r="G52" s="211"/>
      <c r="H52" s="211"/>
      <c r="I52" s="211"/>
      <c r="J52" s="211"/>
      <c r="K52" s="211"/>
      <c r="P52" s="68"/>
      <c r="Q52" s="69"/>
      <c r="R52" s="70"/>
      <c r="S52" s="70"/>
      <c r="T52" s="70"/>
      <c r="V52" s="75"/>
    </row>
    <row r="53" spans="1:22" ht="23.25">
      <c r="A53" s="196">
        <v>50</v>
      </c>
      <c r="B53" s="196" t="s">
        <v>469</v>
      </c>
      <c r="C53" s="196" t="s">
        <v>468</v>
      </c>
      <c r="D53" s="196" t="s">
        <v>346</v>
      </c>
      <c r="E53" s="197">
        <v>42576</v>
      </c>
      <c r="F53" s="196">
        <v>11185</v>
      </c>
      <c r="G53" s="211"/>
      <c r="H53" s="211"/>
      <c r="I53" s="211"/>
      <c r="J53" s="211"/>
      <c r="K53" s="211"/>
      <c r="P53" s="68"/>
      <c r="Q53" s="69"/>
      <c r="R53" s="70"/>
      <c r="S53" s="70"/>
      <c r="T53" s="70"/>
      <c r="V53" s="75"/>
    </row>
    <row r="54" spans="1:22" ht="23.25">
      <c r="A54" s="196">
        <v>51</v>
      </c>
      <c r="B54" s="196" t="s">
        <v>473</v>
      </c>
      <c r="C54" s="196" t="s">
        <v>465</v>
      </c>
      <c r="D54" s="196" t="s">
        <v>344</v>
      </c>
      <c r="E54" s="197">
        <v>42739</v>
      </c>
      <c r="F54" s="196">
        <v>18473</v>
      </c>
      <c r="G54" s="211"/>
      <c r="H54" s="211"/>
      <c r="I54" s="211"/>
      <c r="J54" s="211"/>
      <c r="K54" s="211"/>
      <c r="P54" s="68"/>
      <c r="Q54" s="69"/>
      <c r="R54" s="70"/>
      <c r="S54" s="70"/>
      <c r="T54" s="70"/>
      <c r="V54" s="75"/>
    </row>
    <row r="55" spans="1:22" ht="23.25">
      <c r="A55" s="196">
        <v>52</v>
      </c>
      <c r="B55" s="196" t="s">
        <v>464</v>
      </c>
      <c r="C55" s="196" t="s">
        <v>463</v>
      </c>
      <c r="D55" s="196" t="s">
        <v>472</v>
      </c>
      <c r="E55" s="197">
        <v>42376</v>
      </c>
      <c r="F55" s="196">
        <v>22813</v>
      </c>
      <c r="G55" s="211"/>
      <c r="H55" s="211"/>
      <c r="I55" s="211"/>
      <c r="J55" s="211"/>
      <c r="K55" s="211"/>
      <c r="P55" s="68"/>
      <c r="Q55" s="69"/>
      <c r="R55" s="70"/>
      <c r="S55" s="70"/>
      <c r="T55" s="70"/>
      <c r="V55" s="75"/>
    </row>
    <row r="56" spans="1:22" ht="23.25">
      <c r="A56" s="196">
        <v>53</v>
      </c>
      <c r="B56" s="196" t="s">
        <v>462</v>
      </c>
      <c r="C56" s="196" t="s">
        <v>470</v>
      </c>
      <c r="D56" s="196" t="s">
        <v>474</v>
      </c>
      <c r="E56" s="197">
        <v>42628</v>
      </c>
      <c r="F56" s="196">
        <v>24008</v>
      </c>
      <c r="G56" s="211"/>
      <c r="H56" s="211"/>
      <c r="I56" s="211"/>
      <c r="J56" s="211"/>
      <c r="K56" s="211"/>
      <c r="P56" s="68"/>
      <c r="Q56" s="69"/>
      <c r="R56" s="70"/>
      <c r="S56" s="70"/>
      <c r="T56" s="70"/>
      <c r="V56" s="75"/>
    </row>
    <row r="57" spans="1:22" ht="23.25">
      <c r="A57" s="196">
        <v>54</v>
      </c>
      <c r="B57" s="196" t="s">
        <v>471</v>
      </c>
      <c r="C57" s="196" t="s">
        <v>465</v>
      </c>
      <c r="D57" s="196" t="s">
        <v>475</v>
      </c>
      <c r="E57" s="197">
        <v>41902</v>
      </c>
      <c r="F57" s="196">
        <v>11884</v>
      </c>
      <c r="G57" s="211"/>
      <c r="H57" s="211"/>
      <c r="I57" s="211"/>
      <c r="J57" s="211"/>
      <c r="K57" s="211"/>
      <c r="P57" s="68"/>
      <c r="Q57" s="69"/>
      <c r="R57" s="70"/>
      <c r="S57" s="70"/>
      <c r="T57" s="70"/>
      <c r="V57" s="75"/>
    </row>
    <row r="58" spans="1:22" ht="23.25">
      <c r="A58" s="196">
        <v>55</v>
      </c>
      <c r="B58" s="196" t="s">
        <v>471</v>
      </c>
      <c r="C58" s="196" t="s">
        <v>470</v>
      </c>
      <c r="D58" s="196" t="s">
        <v>480</v>
      </c>
      <c r="E58" s="197">
        <v>42330</v>
      </c>
      <c r="F58" s="196">
        <v>232</v>
      </c>
      <c r="G58" s="211"/>
      <c r="H58" s="211"/>
      <c r="I58" s="211"/>
      <c r="J58" s="211"/>
      <c r="K58" s="211"/>
      <c r="P58" s="68"/>
      <c r="Q58" s="69"/>
      <c r="R58" s="70"/>
      <c r="S58" s="70"/>
      <c r="T58" s="70"/>
      <c r="V58" s="75"/>
    </row>
    <row r="59" spans="1:22" ht="23.25">
      <c r="A59" s="196">
        <v>56</v>
      </c>
      <c r="B59" s="196" t="s">
        <v>469</v>
      </c>
      <c r="C59" s="196" t="s">
        <v>468</v>
      </c>
      <c r="D59" s="196" t="s">
        <v>475</v>
      </c>
      <c r="E59" s="197">
        <v>42493</v>
      </c>
      <c r="F59" s="196">
        <v>24906</v>
      </c>
      <c r="G59" s="211"/>
      <c r="H59" s="211"/>
      <c r="I59" s="211"/>
      <c r="J59" s="211"/>
      <c r="K59" s="211"/>
      <c r="P59" s="68"/>
      <c r="Q59" s="69"/>
      <c r="R59" s="70"/>
      <c r="S59" s="70"/>
      <c r="T59" s="70"/>
      <c r="V59" s="75"/>
    </row>
    <row r="60" spans="1:22" ht="23.25">
      <c r="A60" s="196">
        <v>57</v>
      </c>
      <c r="B60" s="196" t="s">
        <v>471</v>
      </c>
      <c r="C60" s="196" t="s">
        <v>468</v>
      </c>
      <c r="D60" s="196" t="s">
        <v>480</v>
      </c>
      <c r="E60" s="197">
        <v>42315</v>
      </c>
      <c r="F60" s="196">
        <v>8043</v>
      </c>
      <c r="G60" s="211"/>
      <c r="H60" s="211"/>
      <c r="I60" s="211"/>
      <c r="J60" s="211"/>
      <c r="K60" s="211"/>
      <c r="P60" s="68"/>
      <c r="Q60" s="69"/>
      <c r="R60" s="70"/>
      <c r="S60" s="70"/>
      <c r="T60" s="70"/>
      <c r="V60" s="75"/>
    </row>
    <row r="61" spans="1:22" ht="23.25">
      <c r="A61" s="196">
        <v>58</v>
      </c>
      <c r="B61" s="196" t="s">
        <v>473</v>
      </c>
      <c r="C61" s="196" t="s">
        <v>463</v>
      </c>
      <c r="D61" s="196" t="s">
        <v>344</v>
      </c>
      <c r="E61" s="197">
        <v>42327</v>
      </c>
      <c r="F61" s="196">
        <v>5326</v>
      </c>
      <c r="G61" s="211"/>
      <c r="H61" s="211"/>
      <c r="I61" s="211"/>
      <c r="J61" s="211"/>
      <c r="K61" s="211"/>
      <c r="P61" s="68"/>
      <c r="Q61" s="69"/>
      <c r="R61" s="70"/>
      <c r="S61" s="70"/>
      <c r="T61" s="70"/>
      <c r="V61" s="75"/>
    </row>
    <row r="62" spans="1:22" ht="23.25">
      <c r="A62" s="196">
        <v>59</v>
      </c>
      <c r="B62" s="196" t="s">
        <v>471</v>
      </c>
      <c r="C62" s="196" t="s">
        <v>465</v>
      </c>
      <c r="D62" s="196" t="s">
        <v>479</v>
      </c>
      <c r="E62" s="197">
        <v>42153</v>
      </c>
      <c r="F62" s="196">
        <v>6398</v>
      </c>
      <c r="G62" s="211"/>
      <c r="H62" s="211"/>
      <c r="I62" s="211"/>
      <c r="J62" s="211"/>
      <c r="K62" s="211"/>
      <c r="P62" s="68"/>
      <c r="Q62" s="69"/>
      <c r="R62" s="70"/>
      <c r="S62" s="70"/>
      <c r="T62" s="70"/>
      <c r="V62" s="75"/>
    </row>
    <row r="63" spans="1:22" ht="23.25">
      <c r="A63" s="196">
        <v>60</v>
      </c>
      <c r="B63" s="196" t="s">
        <v>467</v>
      </c>
      <c r="C63" s="196" t="s">
        <v>470</v>
      </c>
      <c r="D63" s="196" t="s">
        <v>339</v>
      </c>
      <c r="E63" s="197">
        <v>42188</v>
      </c>
      <c r="F63" s="196">
        <v>26292</v>
      </c>
      <c r="G63" s="211"/>
      <c r="H63" s="211"/>
      <c r="I63" s="211"/>
      <c r="J63" s="211"/>
      <c r="K63" s="211"/>
      <c r="P63" s="68"/>
      <c r="Q63" s="69"/>
      <c r="R63" s="70"/>
      <c r="S63" s="70"/>
      <c r="T63" s="70"/>
      <c r="V63" s="75"/>
    </row>
    <row r="64" spans="1:22" ht="23.25">
      <c r="A64" s="196">
        <v>61</v>
      </c>
      <c r="B64" s="196" t="s">
        <v>469</v>
      </c>
      <c r="C64" s="196" t="s">
        <v>463</v>
      </c>
      <c r="D64" s="196" t="s">
        <v>346</v>
      </c>
      <c r="E64" s="197">
        <v>42148</v>
      </c>
      <c r="F64" s="196">
        <v>27419</v>
      </c>
      <c r="G64" s="211"/>
      <c r="H64" s="211"/>
      <c r="I64" s="211"/>
      <c r="J64" s="211"/>
      <c r="K64" s="211"/>
      <c r="P64" s="68"/>
      <c r="Q64" s="69"/>
      <c r="R64" s="70"/>
      <c r="S64" s="70"/>
      <c r="T64" s="70"/>
      <c r="V64" s="75"/>
    </row>
    <row r="65" spans="1:22" s="76" customFormat="1" ht="23.25">
      <c r="A65" s="196">
        <v>62</v>
      </c>
      <c r="B65" s="196" t="s">
        <v>467</v>
      </c>
      <c r="C65" s="196" t="s">
        <v>468</v>
      </c>
      <c r="D65" s="196" t="s">
        <v>479</v>
      </c>
      <c r="E65" s="197">
        <v>42718</v>
      </c>
      <c r="F65" s="196">
        <v>22078</v>
      </c>
      <c r="G65" s="211"/>
      <c r="H65" s="211"/>
      <c r="I65" s="211"/>
      <c r="J65" s="211"/>
      <c r="K65" s="211"/>
      <c r="L65" s="73"/>
      <c r="M65" s="73"/>
      <c r="N65" s="73"/>
      <c r="O65" s="73"/>
      <c r="P65" s="68"/>
      <c r="Q65" s="69"/>
      <c r="R65" s="70"/>
      <c r="S65" s="70"/>
      <c r="T65" s="70"/>
      <c r="U65" s="73"/>
      <c r="V65" s="75"/>
    </row>
    <row r="66" spans="1:22" ht="23.25">
      <c r="A66" s="196">
        <v>63</v>
      </c>
      <c r="B66" s="196" t="s">
        <v>462</v>
      </c>
      <c r="C66" s="196" t="s">
        <v>465</v>
      </c>
      <c r="D66" s="196" t="s">
        <v>477</v>
      </c>
      <c r="E66" s="197">
        <v>42154</v>
      </c>
      <c r="F66" s="196">
        <v>10349</v>
      </c>
      <c r="G66" s="211"/>
      <c r="H66" s="211"/>
      <c r="I66" s="211"/>
      <c r="J66" s="211"/>
      <c r="K66" s="211"/>
      <c r="P66" s="68"/>
      <c r="Q66" s="69"/>
      <c r="R66" s="70"/>
      <c r="S66" s="70"/>
      <c r="T66" s="70"/>
      <c r="V66" s="75"/>
    </row>
    <row r="67" spans="1:22" ht="23.25">
      <c r="A67" s="196">
        <v>64</v>
      </c>
      <c r="B67" s="196" t="s">
        <v>467</v>
      </c>
      <c r="C67" s="196" t="s">
        <v>465</v>
      </c>
      <c r="D67" s="196" t="s">
        <v>479</v>
      </c>
      <c r="E67" s="197">
        <v>42897</v>
      </c>
      <c r="F67" s="196">
        <v>2920</v>
      </c>
      <c r="G67" s="211"/>
      <c r="H67" s="211"/>
      <c r="I67" s="211"/>
      <c r="J67" s="211"/>
      <c r="K67" s="211"/>
      <c r="P67" s="68"/>
      <c r="Q67" s="69"/>
      <c r="R67" s="70"/>
      <c r="S67" s="70"/>
      <c r="T67" s="70"/>
      <c r="V67" s="75"/>
    </row>
    <row r="68" spans="1:22" ht="23.25">
      <c r="A68" s="196">
        <v>65</v>
      </c>
      <c r="B68" s="196" t="s">
        <v>469</v>
      </c>
      <c r="C68" s="196" t="s">
        <v>463</v>
      </c>
      <c r="D68" s="196" t="s">
        <v>476</v>
      </c>
      <c r="E68" s="197">
        <v>42620</v>
      </c>
      <c r="F68" s="196">
        <v>22939</v>
      </c>
      <c r="G68" s="211"/>
      <c r="H68" s="211"/>
      <c r="I68" s="211"/>
      <c r="J68" s="211"/>
      <c r="K68" s="211"/>
      <c r="P68" s="68"/>
      <c r="Q68" s="69"/>
      <c r="R68" s="70"/>
      <c r="S68" s="70"/>
      <c r="T68" s="70"/>
      <c r="V68" s="75"/>
    </row>
    <row r="69" spans="1:22" ht="23.25">
      <c r="A69" s="196">
        <v>66</v>
      </c>
      <c r="B69" s="196" t="s">
        <v>469</v>
      </c>
      <c r="C69" s="196" t="s">
        <v>463</v>
      </c>
      <c r="D69" s="196" t="s">
        <v>474</v>
      </c>
      <c r="E69" s="197">
        <v>42874</v>
      </c>
      <c r="F69" s="196">
        <v>5494</v>
      </c>
      <c r="G69" s="211"/>
      <c r="H69" s="211"/>
      <c r="I69" s="211"/>
      <c r="J69" s="211"/>
      <c r="K69" s="211"/>
      <c r="P69" s="68"/>
      <c r="Q69" s="69"/>
      <c r="R69" s="70"/>
      <c r="S69" s="70"/>
      <c r="T69" s="70"/>
      <c r="V69" s="75"/>
    </row>
    <row r="70" spans="1:22" ht="23.25">
      <c r="A70" s="196">
        <v>67</v>
      </c>
      <c r="B70" s="196" t="s">
        <v>471</v>
      </c>
      <c r="C70" s="196" t="s">
        <v>463</v>
      </c>
      <c r="D70" s="196" t="s">
        <v>346</v>
      </c>
      <c r="E70" s="197">
        <v>42076</v>
      </c>
      <c r="F70" s="196">
        <v>11105</v>
      </c>
      <c r="G70" s="211"/>
      <c r="H70" s="211"/>
      <c r="I70" s="211"/>
      <c r="J70" s="211"/>
      <c r="K70" s="211"/>
      <c r="P70" s="68"/>
      <c r="Q70" s="69"/>
      <c r="R70" s="70"/>
      <c r="T70" s="70"/>
      <c r="V70" s="75"/>
    </row>
    <row r="71" spans="1:22" ht="23.25">
      <c r="A71" s="196">
        <v>68</v>
      </c>
      <c r="B71" s="196" t="s">
        <v>464</v>
      </c>
      <c r="C71" s="196" t="s">
        <v>463</v>
      </c>
      <c r="D71" s="196" t="s">
        <v>475</v>
      </c>
      <c r="E71" s="197">
        <v>42833</v>
      </c>
      <c r="F71" s="196">
        <v>7140</v>
      </c>
      <c r="G71" s="211"/>
      <c r="H71" s="211"/>
      <c r="I71" s="211"/>
      <c r="J71" s="211"/>
      <c r="K71" s="211"/>
      <c r="P71" s="68"/>
      <c r="Q71" s="69"/>
      <c r="R71" s="70"/>
      <c r="S71" s="70"/>
      <c r="T71" s="70"/>
      <c r="V71" s="75"/>
    </row>
    <row r="72" spans="1:22" ht="23.25">
      <c r="A72" s="196">
        <v>69</v>
      </c>
      <c r="B72" s="196" t="s">
        <v>469</v>
      </c>
      <c r="C72" s="196" t="s">
        <v>463</v>
      </c>
      <c r="D72" s="196" t="s">
        <v>472</v>
      </c>
      <c r="E72" s="197">
        <v>42442</v>
      </c>
      <c r="F72" s="196">
        <v>22611</v>
      </c>
      <c r="G72" s="211"/>
      <c r="H72" s="211"/>
      <c r="I72" s="211"/>
      <c r="J72" s="211"/>
      <c r="K72" s="211"/>
      <c r="L72" s="76"/>
      <c r="M72" s="76"/>
      <c r="O72" s="76"/>
      <c r="P72" s="77"/>
      <c r="Q72" s="78"/>
      <c r="R72" s="79"/>
      <c r="S72" s="79"/>
      <c r="T72" s="79"/>
      <c r="U72" s="76"/>
      <c r="V72" s="80"/>
    </row>
    <row r="73" spans="1:22" ht="23.25">
      <c r="A73" s="196">
        <v>70</v>
      </c>
      <c r="B73" s="196" t="s">
        <v>473</v>
      </c>
      <c r="C73" s="196" t="s">
        <v>465</v>
      </c>
      <c r="D73" s="196" t="s">
        <v>479</v>
      </c>
      <c r="E73" s="197">
        <v>42260</v>
      </c>
      <c r="F73" s="196">
        <v>4474</v>
      </c>
      <c r="G73" s="211"/>
      <c r="H73" s="211"/>
      <c r="I73" s="211"/>
      <c r="J73" s="211"/>
      <c r="K73" s="211"/>
      <c r="P73" s="68"/>
      <c r="Q73" s="69"/>
      <c r="R73" s="70"/>
      <c r="T73" s="70"/>
      <c r="V73" s="75"/>
    </row>
    <row r="74" spans="1:22" ht="23.25">
      <c r="A74" s="196">
        <v>71</v>
      </c>
      <c r="B74" s="196" t="s">
        <v>467</v>
      </c>
      <c r="C74" s="196" t="s">
        <v>470</v>
      </c>
      <c r="D74" s="196" t="s">
        <v>339</v>
      </c>
      <c r="E74" s="197">
        <v>42514</v>
      </c>
      <c r="F74" s="196">
        <v>16592</v>
      </c>
      <c r="G74" s="211"/>
      <c r="H74" s="211"/>
      <c r="I74" s="211"/>
      <c r="J74" s="211"/>
      <c r="K74" s="211"/>
      <c r="P74" s="68"/>
      <c r="Q74" s="69"/>
      <c r="R74" s="70"/>
      <c r="S74" s="70"/>
      <c r="T74" s="70"/>
      <c r="V74" s="75"/>
    </row>
    <row r="75" spans="1:22" ht="23.25">
      <c r="A75" s="196">
        <v>72</v>
      </c>
      <c r="B75" s="196" t="s">
        <v>462</v>
      </c>
      <c r="C75" s="196" t="s">
        <v>470</v>
      </c>
      <c r="D75" s="196" t="s">
        <v>339</v>
      </c>
      <c r="E75" s="197">
        <v>42092</v>
      </c>
      <c r="F75" s="196">
        <v>12306</v>
      </c>
      <c r="G75" s="211"/>
      <c r="H75" s="211"/>
      <c r="I75" s="211"/>
      <c r="J75" s="211"/>
      <c r="K75" s="211"/>
      <c r="P75" s="68"/>
      <c r="Q75" s="69"/>
      <c r="R75" s="70"/>
      <c r="S75" s="70"/>
      <c r="T75" s="70"/>
      <c r="V75" s="75"/>
    </row>
    <row r="76" spans="1:22" ht="23.25">
      <c r="A76" s="196">
        <v>73</v>
      </c>
      <c r="B76" s="196" t="s">
        <v>473</v>
      </c>
      <c r="C76" s="196" t="s">
        <v>463</v>
      </c>
      <c r="D76" s="196" t="s">
        <v>477</v>
      </c>
      <c r="E76" s="197">
        <v>41914</v>
      </c>
      <c r="F76" s="196">
        <v>14751</v>
      </c>
      <c r="G76" s="211"/>
      <c r="H76" s="211"/>
      <c r="I76" s="211"/>
      <c r="J76" s="211"/>
      <c r="K76" s="211"/>
      <c r="P76" s="68"/>
      <c r="Q76" s="69"/>
      <c r="R76" s="70"/>
      <c r="S76" s="70"/>
      <c r="T76" s="70"/>
      <c r="V76" s="75"/>
    </row>
    <row r="77" spans="1:22" s="76" customFormat="1" ht="23.25">
      <c r="A77" s="196">
        <v>74</v>
      </c>
      <c r="B77" s="196" t="s">
        <v>462</v>
      </c>
      <c r="C77" s="196" t="s">
        <v>468</v>
      </c>
      <c r="D77" s="196" t="s">
        <v>480</v>
      </c>
      <c r="E77" s="197">
        <v>42224</v>
      </c>
      <c r="F77" s="196">
        <v>8074</v>
      </c>
      <c r="G77" s="211"/>
      <c r="H77" s="211"/>
      <c r="I77" s="211"/>
      <c r="J77" s="211"/>
      <c r="K77" s="211"/>
      <c r="L77" s="73"/>
      <c r="M77" s="73"/>
      <c r="N77" s="73"/>
      <c r="O77" s="73"/>
      <c r="P77" s="68"/>
      <c r="Q77" s="69"/>
      <c r="R77" s="70"/>
      <c r="S77" s="70"/>
      <c r="T77" s="70"/>
      <c r="U77" s="73"/>
      <c r="V77" s="75"/>
    </row>
    <row r="78" spans="1:22" ht="23.25">
      <c r="A78" s="196">
        <v>75</v>
      </c>
      <c r="B78" s="196" t="s">
        <v>462</v>
      </c>
      <c r="C78" s="196" t="s">
        <v>463</v>
      </c>
      <c r="D78" s="196" t="s">
        <v>339</v>
      </c>
      <c r="E78" s="197">
        <v>42511</v>
      </c>
      <c r="F78" s="196">
        <v>8607</v>
      </c>
      <c r="G78" s="211"/>
      <c r="H78" s="211"/>
      <c r="I78" s="211"/>
      <c r="J78" s="211"/>
      <c r="K78" s="211"/>
      <c r="P78" s="68"/>
      <c r="Q78" s="69"/>
      <c r="R78" s="70"/>
      <c r="S78" s="70"/>
      <c r="T78" s="70"/>
      <c r="V78" s="75"/>
    </row>
    <row r="79" spans="1:22" ht="23.25">
      <c r="A79" s="196">
        <v>76</v>
      </c>
      <c r="B79" s="196" t="s">
        <v>473</v>
      </c>
      <c r="C79" s="196" t="s">
        <v>468</v>
      </c>
      <c r="D79" s="196" t="s">
        <v>480</v>
      </c>
      <c r="E79" s="197">
        <v>42211</v>
      </c>
      <c r="F79" s="196">
        <v>3982</v>
      </c>
      <c r="G79" s="211"/>
      <c r="H79" s="211"/>
      <c r="I79" s="211"/>
      <c r="J79" s="211"/>
      <c r="K79" s="211"/>
      <c r="P79" s="68"/>
      <c r="Q79" s="69"/>
      <c r="R79" s="70"/>
      <c r="S79" s="70"/>
      <c r="T79" s="70"/>
      <c r="V79" s="75"/>
    </row>
    <row r="80" spans="1:22" ht="23.25">
      <c r="A80" s="196">
        <v>77</v>
      </c>
      <c r="B80" s="196" t="s">
        <v>467</v>
      </c>
      <c r="C80" s="196" t="s">
        <v>463</v>
      </c>
      <c r="D80" s="196" t="s">
        <v>476</v>
      </c>
      <c r="E80" s="197">
        <v>42492</v>
      </c>
      <c r="F80" s="196">
        <v>29841</v>
      </c>
      <c r="G80" s="211"/>
      <c r="H80" s="211"/>
      <c r="I80" s="211"/>
      <c r="J80" s="211"/>
      <c r="K80" s="211"/>
      <c r="P80" s="68"/>
      <c r="Q80" s="69"/>
      <c r="R80" s="70"/>
      <c r="S80" s="70"/>
      <c r="T80" s="70"/>
      <c r="V80" s="75"/>
    </row>
    <row r="81" spans="1:22" ht="23.25">
      <c r="A81" s="196">
        <v>78</v>
      </c>
      <c r="B81" s="196" t="s">
        <v>467</v>
      </c>
      <c r="C81" s="196" t="s">
        <v>470</v>
      </c>
      <c r="D81" s="196" t="s">
        <v>346</v>
      </c>
      <c r="E81" s="197">
        <v>42096</v>
      </c>
      <c r="F81" s="196">
        <v>8685</v>
      </c>
      <c r="G81" s="211"/>
      <c r="H81" s="211"/>
      <c r="I81" s="211"/>
      <c r="J81" s="211"/>
      <c r="K81" s="211"/>
      <c r="P81" s="68"/>
      <c r="Q81" s="69"/>
      <c r="R81" s="70"/>
      <c r="S81" s="70"/>
      <c r="T81" s="70"/>
      <c r="V81" s="75"/>
    </row>
    <row r="82" spans="1:22" ht="23.25">
      <c r="A82" s="196">
        <v>79</v>
      </c>
      <c r="B82" s="196" t="s">
        <v>471</v>
      </c>
      <c r="C82" s="196" t="s">
        <v>470</v>
      </c>
      <c r="D82" s="196" t="s">
        <v>348</v>
      </c>
      <c r="E82" s="197">
        <v>42175</v>
      </c>
      <c r="F82" s="196">
        <v>17294</v>
      </c>
      <c r="G82" s="211"/>
      <c r="H82" s="211"/>
      <c r="I82" s="211"/>
      <c r="J82" s="211"/>
      <c r="K82" s="211"/>
      <c r="P82" s="68"/>
      <c r="Q82" s="69"/>
      <c r="R82" s="70"/>
      <c r="S82" s="70"/>
      <c r="T82" s="70"/>
      <c r="V82" s="75"/>
    </row>
    <row r="83" spans="1:22" ht="23.25">
      <c r="A83" s="196">
        <v>80</v>
      </c>
      <c r="B83" s="196" t="s">
        <v>464</v>
      </c>
      <c r="C83" s="196" t="s">
        <v>468</v>
      </c>
      <c r="D83" s="196" t="s">
        <v>472</v>
      </c>
      <c r="E83" s="197">
        <v>42000</v>
      </c>
      <c r="F83" s="196">
        <v>13589</v>
      </c>
      <c r="G83" s="211"/>
      <c r="H83" s="211"/>
      <c r="I83" s="211"/>
      <c r="J83" s="211"/>
      <c r="K83" s="211"/>
      <c r="P83" s="68"/>
      <c r="Q83" s="69"/>
      <c r="R83" s="70"/>
      <c r="S83" s="70"/>
      <c r="T83" s="70"/>
      <c r="V83" s="75"/>
    </row>
    <row r="84" spans="1:22" ht="23.25">
      <c r="A84" s="196">
        <v>81</v>
      </c>
      <c r="B84" s="196" t="s">
        <v>471</v>
      </c>
      <c r="C84" s="196" t="s">
        <v>465</v>
      </c>
      <c r="D84" s="196" t="s">
        <v>475</v>
      </c>
      <c r="E84" s="197">
        <v>42788</v>
      </c>
      <c r="F84" s="196">
        <v>4958</v>
      </c>
      <c r="G84" s="211"/>
      <c r="H84" s="211"/>
      <c r="I84" s="211"/>
      <c r="J84" s="211"/>
      <c r="K84" s="211"/>
      <c r="P84" s="68"/>
      <c r="Q84" s="69"/>
      <c r="R84" s="70"/>
      <c r="S84" s="70"/>
      <c r="T84" s="70"/>
      <c r="V84" s="75"/>
    </row>
    <row r="85" spans="1:22" ht="23.25">
      <c r="A85" s="196">
        <v>82</v>
      </c>
      <c r="B85" s="196" t="s">
        <v>467</v>
      </c>
      <c r="C85" s="196" t="s">
        <v>463</v>
      </c>
      <c r="D85" s="196" t="s">
        <v>476</v>
      </c>
      <c r="E85" s="197">
        <v>41962</v>
      </c>
      <c r="F85" s="196">
        <v>16166</v>
      </c>
      <c r="G85" s="211"/>
      <c r="H85" s="211"/>
      <c r="I85" s="211"/>
      <c r="J85" s="211"/>
      <c r="K85" s="211"/>
      <c r="P85" s="68"/>
      <c r="Q85" s="69"/>
      <c r="R85" s="70"/>
      <c r="S85" s="70"/>
      <c r="T85" s="70"/>
      <c r="V85" s="75"/>
    </row>
    <row r="86" spans="1:22" ht="23.25">
      <c r="A86" s="196">
        <v>83</v>
      </c>
      <c r="B86" s="196" t="s">
        <v>473</v>
      </c>
      <c r="C86" s="196" t="s">
        <v>463</v>
      </c>
      <c r="D86" s="196" t="s">
        <v>472</v>
      </c>
      <c r="E86" s="197">
        <v>42695</v>
      </c>
      <c r="F86" s="196">
        <v>5140</v>
      </c>
      <c r="G86" s="211"/>
      <c r="H86" s="211"/>
      <c r="I86" s="211"/>
      <c r="J86" s="211"/>
      <c r="K86" s="211"/>
      <c r="P86" s="68"/>
      <c r="Q86" s="69"/>
      <c r="R86" s="70"/>
      <c r="S86" s="70"/>
      <c r="T86" s="70"/>
      <c r="V86" s="75"/>
    </row>
    <row r="87" spans="1:22" ht="23.25">
      <c r="A87" s="196">
        <v>84</v>
      </c>
      <c r="B87" s="196" t="s">
        <v>464</v>
      </c>
      <c r="C87" s="196" t="s">
        <v>470</v>
      </c>
      <c r="D87" s="196" t="s">
        <v>466</v>
      </c>
      <c r="E87" s="197">
        <v>42752</v>
      </c>
      <c r="F87" s="196">
        <v>5715</v>
      </c>
      <c r="G87" s="211"/>
      <c r="H87" s="211"/>
      <c r="I87" s="211"/>
      <c r="J87" s="211"/>
      <c r="K87" s="211"/>
      <c r="P87" s="68"/>
      <c r="Q87" s="69"/>
      <c r="R87" s="70"/>
      <c r="S87" s="70"/>
      <c r="T87" s="70"/>
      <c r="V87" s="75"/>
    </row>
    <row r="88" spans="1:22" ht="23.25">
      <c r="A88" s="196">
        <v>85</v>
      </c>
      <c r="B88" s="196" t="s">
        <v>462</v>
      </c>
      <c r="C88" s="196" t="s">
        <v>468</v>
      </c>
      <c r="D88" s="196" t="s">
        <v>472</v>
      </c>
      <c r="E88" s="197">
        <v>42728</v>
      </c>
      <c r="F88" s="196">
        <v>23609</v>
      </c>
      <c r="G88" s="211"/>
      <c r="H88" s="211"/>
      <c r="I88" s="211"/>
      <c r="J88" s="211"/>
      <c r="K88" s="211"/>
      <c r="P88" s="68"/>
      <c r="Q88" s="69"/>
      <c r="R88" s="70"/>
      <c r="S88" s="70"/>
      <c r="T88" s="70"/>
      <c r="V88" s="75"/>
    </row>
    <row r="89" spans="1:22" ht="23.25">
      <c r="A89" s="196">
        <v>86</v>
      </c>
      <c r="B89" s="196" t="s">
        <v>462</v>
      </c>
      <c r="C89" s="196" t="s">
        <v>465</v>
      </c>
      <c r="D89" s="196" t="s">
        <v>350</v>
      </c>
      <c r="E89" s="197">
        <v>42218</v>
      </c>
      <c r="F89" s="196">
        <v>22843</v>
      </c>
      <c r="G89" s="211"/>
      <c r="H89" s="211"/>
      <c r="I89" s="211"/>
      <c r="J89" s="211"/>
      <c r="K89" s="211"/>
      <c r="P89" s="68"/>
      <c r="Q89" s="69"/>
      <c r="R89" s="70"/>
      <c r="S89" s="70"/>
      <c r="T89" s="70"/>
      <c r="V89" s="75"/>
    </row>
    <row r="90" spans="1:22" ht="23.25">
      <c r="A90" s="196">
        <v>87</v>
      </c>
      <c r="B90" s="196" t="s">
        <v>462</v>
      </c>
      <c r="C90" s="196" t="s">
        <v>470</v>
      </c>
      <c r="D90" s="196" t="s">
        <v>339</v>
      </c>
      <c r="E90" s="197">
        <v>42693</v>
      </c>
      <c r="F90" s="196">
        <v>15959</v>
      </c>
      <c r="G90" s="211"/>
      <c r="H90" s="211"/>
      <c r="I90" s="211"/>
      <c r="J90" s="211"/>
      <c r="K90" s="211"/>
      <c r="P90" s="68"/>
      <c r="Q90" s="69"/>
      <c r="R90" s="70"/>
      <c r="S90" s="70"/>
      <c r="T90" s="70"/>
      <c r="V90" s="75"/>
    </row>
    <row r="91" spans="1:22" ht="23.25">
      <c r="A91" s="196">
        <v>88</v>
      </c>
      <c r="B91" s="196" t="s">
        <v>469</v>
      </c>
      <c r="C91" s="196" t="s">
        <v>468</v>
      </c>
      <c r="D91" s="196" t="s">
        <v>472</v>
      </c>
      <c r="E91" s="197">
        <v>41970</v>
      </c>
      <c r="F91" s="196">
        <v>4428</v>
      </c>
      <c r="G91" s="211"/>
      <c r="H91" s="211"/>
      <c r="I91" s="211"/>
      <c r="J91" s="211"/>
      <c r="K91" s="211"/>
      <c r="P91" s="68"/>
      <c r="Q91" s="69"/>
      <c r="R91" s="70"/>
      <c r="S91" s="70"/>
      <c r="T91" s="70"/>
      <c r="V91" s="75"/>
    </row>
    <row r="92" spans="1:22" ht="23.25">
      <c r="A92" s="196">
        <v>89</v>
      </c>
      <c r="B92" s="196" t="s">
        <v>467</v>
      </c>
      <c r="C92" s="196" t="s">
        <v>463</v>
      </c>
      <c r="D92" s="196" t="s">
        <v>477</v>
      </c>
      <c r="E92" s="197">
        <v>42398</v>
      </c>
      <c r="F92" s="196">
        <v>8875</v>
      </c>
      <c r="G92" s="211"/>
      <c r="H92" s="211"/>
      <c r="I92" s="211"/>
      <c r="J92" s="211"/>
      <c r="K92" s="211"/>
      <c r="P92" s="68"/>
      <c r="Q92" s="69"/>
      <c r="R92" s="70"/>
      <c r="S92" s="70"/>
      <c r="T92" s="70"/>
      <c r="V92" s="75"/>
    </row>
    <row r="93" spans="1:22" ht="23.25">
      <c r="A93" s="196">
        <v>90</v>
      </c>
      <c r="B93" s="196" t="s">
        <v>469</v>
      </c>
      <c r="C93" s="196" t="s">
        <v>468</v>
      </c>
      <c r="D93" s="196" t="s">
        <v>477</v>
      </c>
      <c r="E93" s="197">
        <v>42632</v>
      </c>
      <c r="F93" s="196">
        <v>2030</v>
      </c>
      <c r="G93" s="211"/>
      <c r="H93" s="211"/>
      <c r="I93" s="211"/>
      <c r="J93" s="211"/>
      <c r="K93" s="211"/>
      <c r="P93" s="68"/>
      <c r="Q93" s="69"/>
      <c r="R93" s="70"/>
      <c r="S93" s="70"/>
      <c r="T93" s="70"/>
      <c r="V93" s="75"/>
    </row>
    <row r="94" spans="1:22" ht="23.25">
      <c r="A94" s="196">
        <v>91</v>
      </c>
      <c r="B94" s="196" t="s">
        <v>471</v>
      </c>
      <c r="C94" s="196" t="s">
        <v>468</v>
      </c>
      <c r="D94" s="196" t="s">
        <v>476</v>
      </c>
      <c r="E94" s="197">
        <v>42879</v>
      </c>
      <c r="F94" s="196">
        <v>17808</v>
      </c>
      <c r="G94" s="211"/>
      <c r="H94" s="211"/>
      <c r="I94" s="211"/>
      <c r="J94" s="211"/>
      <c r="K94" s="211"/>
      <c r="P94" s="68"/>
      <c r="Q94" s="69"/>
      <c r="R94" s="70"/>
      <c r="S94" s="70"/>
      <c r="T94" s="70"/>
      <c r="V94" s="75"/>
    </row>
    <row r="95" spans="1:22" s="76" customFormat="1" ht="23.25">
      <c r="A95" s="196">
        <v>92</v>
      </c>
      <c r="B95" s="196" t="s">
        <v>473</v>
      </c>
      <c r="C95" s="196" t="s">
        <v>470</v>
      </c>
      <c r="D95" s="196" t="s">
        <v>346</v>
      </c>
      <c r="E95" s="197">
        <v>42716</v>
      </c>
      <c r="F95" s="196">
        <v>5000</v>
      </c>
      <c r="G95" s="211"/>
      <c r="H95" s="211"/>
      <c r="I95" s="211"/>
      <c r="J95" s="211"/>
      <c r="K95" s="211"/>
      <c r="L95" s="73"/>
      <c r="M95" s="73"/>
      <c r="N95" s="73"/>
      <c r="O95" s="73"/>
      <c r="P95" s="68"/>
      <c r="Q95" s="69"/>
      <c r="R95" s="70"/>
      <c r="S95" s="70"/>
      <c r="T95" s="70"/>
      <c r="U95" s="73"/>
      <c r="V95" s="75"/>
    </row>
    <row r="96" spans="1:22" ht="23.25">
      <c r="A96" s="196">
        <v>93</v>
      </c>
      <c r="B96" s="196" t="s">
        <v>467</v>
      </c>
      <c r="C96" s="196" t="s">
        <v>463</v>
      </c>
      <c r="D96" s="196" t="s">
        <v>339</v>
      </c>
      <c r="E96" s="197">
        <v>42079</v>
      </c>
      <c r="F96" s="196">
        <v>9493</v>
      </c>
      <c r="G96" s="211"/>
      <c r="H96" s="211"/>
      <c r="I96" s="211"/>
      <c r="J96" s="211"/>
      <c r="K96" s="211"/>
      <c r="P96" s="68"/>
      <c r="Q96" s="69"/>
      <c r="R96" s="70"/>
      <c r="S96" s="70"/>
      <c r="T96" s="70"/>
      <c r="V96" s="75"/>
    </row>
    <row r="97" spans="1:22" ht="23.25">
      <c r="A97" s="196">
        <v>94</v>
      </c>
      <c r="B97" s="196" t="s">
        <v>471</v>
      </c>
      <c r="C97" s="196" t="s">
        <v>468</v>
      </c>
      <c r="D97" s="196" t="s">
        <v>475</v>
      </c>
      <c r="E97" s="197">
        <v>42635</v>
      </c>
      <c r="F97" s="196">
        <v>4088</v>
      </c>
      <c r="G97" s="211"/>
      <c r="H97" s="211"/>
      <c r="I97" s="211"/>
      <c r="J97" s="211"/>
      <c r="K97" s="211"/>
      <c r="P97" s="68"/>
      <c r="Q97" s="69"/>
      <c r="R97" s="70"/>
      <c r="S97" s="70"/>
      <c r="T97" s="70"/>
      <c r="V97" s="75"/>
    </row>
    <row r="98" spans="1:22" ht="23.25">
      <c r="A98" s="196">
        <v>95</v>
      </c>
      <c r="B98" s="196" t="s">
        <v>467</v>
      </c>
      <c r="C98" s="196" t="s">
        <v>465</v>
      </c>
      <c r="D98" s="196" t="s">
        <v>350</v>
      </c>
      <c r="E98" s="197">
        <v>42764</v>
      </c>
      <c r="F98" s="196">
        <v>5362</v>
      </c>
      <c r="G98" s="211"/>
      <c r="H98" s="211"/>
      <c r="I98" s="211"/>
      <c r="J98" s="211"/>
      <c r="K98" s="211"/>
      <c r="P98" s="68"/>
      <c r="Q98" s="69"/>
      <c r="R98" s="70"/>
      <c r="S98" s="70"/>
      <c r="T98" s="70"/>
      <c r="V98" s="75"/>
    </row>
    <row r="99" spans="1:22" ht="23.25">
      <c r="A99" s="196">
        <v>96</v>
      </c>
      <c r="B99" s="196" t="s">
        <v>469</v>
      </c>
      <c r="C99" s="196" t="s">
        <v>470</v>
      </c>
      <c r="D99" s="196" t="s">
        <v>478</v>
      </c>
      <c r="E99" s="197">
        <v>42525</v>
      </c>
      <c r="F99" s="196">
        <v>22907</v>
      </c>
      <c r="G99" s="211"/>
      <c r="H99" s="211"/>
      <c r="I99" s="211"/>
      <c r="J99" s="211"/>
      <c r="K99" s="211"/>
      <c r="P99" s="68"/>
      <c r="Q99" s="69"/>
      <c r="R99" s="70"/>
      <c r="T99" s="70"/>
      <c r="V99" s="75"/>
    </row>
    <row r="100" spans="1:22" ht="23.25">
      <c r="A100" s="196">
        <v>97</v>
      </c>
      <c r="B100" s="196" t="s">
        <v>462</v>
      </c>
      <c r="C100" s="196" t="s">
        <v>463</v>
      </c>
      <c r="D100" s="196" t="s">
        <v>344</v>
      </c>
      <c r="E100" s="197">
        <v>42700</v>
      </c>
      <c r="F100" s="196">
        <v>10970</v>
      </c>
      <c r="G100" s="211"/>
      <c r="H100" s="211"/>
      <c r="I100" s="211"/>
      <c r="J100" s="211"/>
      <c r="K100" s="211"/>
      <c r="P100" s="68"/>
      <c r="Q100" s="69"/>
      <c r="R100" s="70"/>
      <c r="S100" s="70"/>
      <c r="T100" s="70"/>
      <c r="V100" s="75"/>
    </row>
    <row r="101" spans="1:22" ht="23.25">
      <c r="A101" s="196">
        <v>98</v>
      </c>
      <c r="B101" s="196" t="s">
        <v>473</v>
      </c>
      <c r="C101" s="196" t="s">
        <v>470</v>
      </c>
      <c r="D101" s="196" t="s">
        <v>348</v>
      </c>
      <c r="E101" s="197">
        <v>42806</v>
      </c>
      <c r="F101" s="196">
        <v>17294</v>
      </c>
      <c r="G101" s="211"/>
      <c r="H101" s="211"/>
      <c r="I101" s="211"/>
      <c r="J101" s="211"/>
      <c r="K101" s="211"/>
      <c r="P101" s="68"/>
      <c r="Q101" s="69"/>
      <c r="R101" s="70"/>
      <c r="S101" s="70"/>
      <c r="T101" s="70"/>
      <c r="V101" s="75"/>
    </row>
    <row r="102" spans="1:22" ht="23.25">
      <c r="A102" s="196">
        <v>99</v>
      </c>
      <c r="B102" s="196" t="s">
        <v>467</v>
      </c>
      <c r="C102" s="196" t="s">
        <v>465</v>
      </c>
      <c r="D102" s="196" t="s">
        <v>348</v>
      </c>
      <c r="E102" s="197">
        <v>42391</v>
      </c>
      <c r="F102" s="196">
        <v>17047</v>
      </c>
      <c r="G102" s="211"/>
      <c r="H102" s="211"/>
      <c r="I102" s="211"/>
      <c r="J102" s="211"/>
      <c r="K102" s="211"/>
      <c r="P102" s="68"/>
      <c r="Q102" s="69"/>
      <c r="R102" s="70"/>
      <c r="S102" s="70"/>
      <c r="T102" s="70"/>
      <c r="V102" s="75"/>
    </row>
    <row r="103" spans="1:22" ht="23.25">
      <c r="A103" s="196">
        <v>100</v>
      </c>
      <c r="B103" s="196" t="s">
        <v>464</v>
      </c>
      <c r="C103" s="196" t="s">
        <v>463</v>
      </c>
      <c r="D103" s="196" t="s">
        <v>476</v>
      </c>
      <c r="E103" s="197">
        <v>42522</v>
      </c>
      <c r="F103" s="196">
        <v>21057</v>
      </c>
      <c r="G103" s="211"/>
      <c r="H103" s="211"/>
      <c r="I103" s="211"/>
      <c r="J103" s="211"/>
      <c r="K103" s="211"/>
      <c r="P103" s="68"/>
      <c r="Q103" s="69"/>
      <c r="R103" s="70"/>
      <c r="S103" s="70"/>
      <c r="T103" s="70"/>
      <c r="V103" s="75"/>
    </row>
    <row r="104" spans="1:22" ht="23.25">
      <c r="A104" s="196">
        <v>101</v>
      </c>
      <c r="B104" s="196" t="s">
        <v>467</v>
      </c>
      <c r="C104" s="196" t="s">
        <v>465</v>
      </c>
      <c r="D104" s="196" t="s">
        <v>466</v>
      </c>
      <c r="E104" s="197">
        <v>42328</v>
      </c>
      <c r="F104" s="196">
        <v>15597</v>
      </c>
      <c r="G104" s="211"/>
      <c r="H104" s="211"/>
      <c r="I104" s="211"/>
      <c r="J104" s="211"/>
      <c r="K104" s="211"/>
      <c r="P104" s="68"/>
      <c r="Q104" s="69"/>
      <c r="R104" s="70"/>
      <c r="S104" s="70"/>
      <c r="T104" s="70"/>
      <c r="V104" s="75"/>
    </row>
    <row r="105" spans="1:22" ht="23.25">
      <c r="A105" s="196">
        <v>102</v>
      </c>
      <c r="B105" s="196" t="s">
        <v>469</v>
      </c>
      <c r="C105" s="196" t="s">
        <v>465</v>
      </c>
      <c r="D105" s="196" t="s">
        <v>478</v>
      </c>
      <c r="E105" s="197">
        <v>42680</v>
      </c>
      <c r="F105" s="196">
        <v>23428</v>
      </c>
      <c r="G105" s="211"/>
      <c r="H105" s="211"/>
      <c r="I105" s="211"/>
      <c r="J105" s="211"/>
      <c r="K105" s="211"/>
      <c r="P105" s="68"/>
      <c r="Q105" s="69"/>
      <c r="R105" s="70"/>
      <c r="S105" s="70"/>
      <c r="T105" s="70"/>
      <c r="V105" s="75"/>
    </row>
    <row r="106" spans="1:22" ht="23.25">
      <c r="A106" s="196">
        <v>103</v>
      </c>
      <c r="B106" s="196" t="s">
        <v>473</v>
      </c>
      <c r="C106" s="196" t="s">
        <v>470</v>
      </c>
      <c r="D106" s="196" t="s">
        <v>350</v>
      </c>
      <c r="E106" s="197">
        <v>42673</v>
      </c>
      <c r="F106" s="196">
        <v>1855</v>
      </c>
      <c r="G106" s="211"/>
      <c r="H106" s="211"/>
      <c r="I106" s="211"/>
      <c r="J106" s="211"/>
      <c r="K106" s="211"/>
      <c r="P106" s="68"/>
      <c r="Q106" s="69"/>
      <c r="R106" s="70"/>
      <c r="S106" s="70"/>
      <c r="T106" s="70"/>
      <c r="V106" s="75"/>
    </row>
    <row r="107" spans="1:22" ht="23.25">
      <c r="A107" s="196">
        <v>104</v>
      </c>
      <c r="B107" s="196" t="s">
        <v>473</v>
      </c>
      <c r="C107" s="196" t="s">
        <v>468</v>
      </c>
      <c r="D107" s="196" t="s">
        <v>472</v>
      </c>
      <c r="E107" s="197">
        <v>42414</v>
      </c>
      <c r="F107" s="196">
        <v>13587</v>
      </c>
      <c r="G107" s="211"/>
      <c r="H107" s="211"/>
      <c r="I107" s="211"/>
      <c r="J107" s="211"/>
      <c r="K107" s="211"/>
      <c r="P107" s="68"/>
      <c r="Q107" s="69"/>
      <c r="R107" s="70"/>
      <c r="S107" s="70"/>
      <c r="T107" s="70"/>
      <c r="V107" s="75"/>
    </row>
    <row r="108" spans="1:22" ht="23.25">
      <c r="A108" s="196">
        <v>105</v>
      </c>
      <c r="B108" s="196" t="s">
        <v>473</v>
      </c>
      <c r="C108" s="196" t="s">
        <v>468</v>
      </c>
      <c r="D108" s="196" t="s">
        <v>480</v>
      </c>
      <c r="E108" s="197">
        <v>42619</v>
      </c>
      <c r="F108" s="196">
        <v>8043</v>
      </c>
      <c r="G108" s="211"/>
      <c r="H108" s="211"/>
      <c r="I108" s="211"/>
      <c r="J108" s="211"/>
      <c r="K108" s="211"/>
      <c r="P108" s="68"/>
      <c r="Q108" s="69"/>
      <c r="R108" s="70"/>
      <c r="S108" s="70"/>
      <c r="T108" s="70"/>
      <c r="V108" s="75"/>
    </row>
    <row r="109" spans="1:22" ht="23.25">
      <c r="A109" s="196">
        <v>106</v>
      </c>
      <c r="B109" s="196" t="s">
        <v>469</v>
      </c>
      <c r="C109" s="196" t="s">
        <v>468</v>
      </c>
      <c r="D109" s="196" t="s">
        <v>474</v>
      </c>
      <c r="E109" s="197">
        <v>42442</v>
      </c>
      <c r="F109" s="196">
        <v>10920</v>
      </c>
      <c r="G109" s="211"/>
      <c r="H109" s="211"/>
      <c r="I109" s="211"/>
      <c r="J109" s="211"/>
      <c r="K109" s="211"/>
      <c r="P109" s="68"/>
      <c r="Q109" s="69"/>
      <c r="R109" s="70"/>
      <c r="T109" s="70"/>
      <c r="V109" s="75"/>
    </row>
    <row r="110" spans="1:22" ht="23.25">
      <c r="A110" s="196">
        <v>107</v>
      </c>
      <c r="B110" s="196" t="s">
        <v>471</v>
      </c>
      <c r="C110" s="196" t="s">
        <v>468</v>
      </c>
      <c r="D110" s="196" t="s">
        <v>346</v>
      </c>
      <c r="E110" s="197">
        <v>42565</v>
      </c>
      <c r="F110" s="196">
        <v>7782</v>
      </c>
      <c r="G110" s="211"/>
      <c r="H110" s="211"/>
      <c r="I110" s="211"/>
      <c r="J110" s="211"/>
      <c r="K110" s="211"/>
      <c r="P110" s="68"/>
      <c r="Q110" s="69"/>
      <c r="R110" s="70"/>
      <c r="T110" s="70"/>
      <c r="V110" s="75"/>
    </row>
    <row r="111" spans="1:22" ht="23.25">
      <c r="A111" s="196">
        <v>108</v>
      </c>
      <c r="B111" s="196" t="s">
        <v>473</v>
      </c>
      <c r="C111" s="196" t="s">
        <v>465</v>
      </c>
      <c r="D111" s="196" t="s">
        <v>350</v>
      </c>
      <c r="E111" s="197">
        <v>42280</v>
      </c>
      <c r="F111" s="196">
        <v>2757</v>
      </c>
      <c r="G111" s="211"/>
      <c r="H111" s="211"/>
      <c r="I111" s="211"/>
      <c r="J111" s="211"/>
      <c r="K111" s="211"/>
      <c r="P111" s="68"/>
      <c r="Q111" s="69"/>
      <c r="R111" s="70"/>
      <c r="S111" s="70"/>
      <c r="T111" s="70"/>
      <c r="V111" s="75"/>
    </row>
    <row r="112" spans="1:22" ht="23.25">
      <c r="A112" s="196">
        <v>109</v>
      </c>
      <c r="B112" s="196" t="s">
        <v>467</v>
      </c>
      <c r="C112" s="196" t="s">
        <v>468</v>
      </c>
      <c r="D112" s="196" t="s">
        <v>477</v>
      </c>
      <c r="E112" s="197">
        <v>42683</v>
      </c>
      <c r="F112" s="196">
        <v>12309</v>
      </c>
      <c r="G112" s="211"/>
      <c r="H112" s="211"/>
      <c r="I112" s="211"/>
      <c r="J112" s="211"/>
      <c r="K112" s="211"/>
      <c r="P112" s="68"/>
      <c r="Q112" s="69"/>
      <c r="R112" s="70"/>
      <c r="S112" s="70"/>
      <c r="T112" s="70"/>
      <c r="V112" s="75"/>
    </row>
    <row r="113" spans="1:22" ht="23.25">
      <c r="A113" s="196">
        <v>110</v>
      </c>
      <c r="B113" s="196" t="s">
        <v>464</v>
      </c>
      <c r="C113" s="196" t="s">
        <v>463</v>
      </c>
      <c r="D113" s="196" t="s">
        <v>474</v>
      </c>
      <c r="E113" s="197">
        <v>42578</v>
      </c>
      <c r="F113" s="196">
        <v>23804</v>
      </c>
      <c r="G113" s="211"/>
      <c r="H113" s="211"/>
      <c r="I113" s="211"/>
      <c r="J113" s="211"/>
      <c r="K113" s="211"/>
      <c r="P113" s="68"/>
      <c r="Q113" s="69"/>
      <c r="R113" s="70"/>
      <c r="S113" s="70"/>
      <c r="T113" s="70"/>
      <c r="V113" s="75"/>
    </row>
    <row r="114" spans="1:22" ht="23.25">
      <c r="A114" s="196">
        <v>111</v>
      </c>
      <c r="B114" s="196" t="s">
        <v>467</v>
      </c>
      <c r="C114" s="196" t="s">
        <v>465</v>
      </c>
      <c r="D114" s="196" t="s">
        <v>475</v>
      </c>
      <c r="E114" s="197">
        <v>42142</v>
      </c>
      <c r="F114" s="196">
        <v>17814</v>
      </c>
      <c r="G114" s="211"/>
      <c r="H114" s="211"/>
      <c r="I114" s="211"/>
      <c r="J114" s="211"/>
      <c r="K114" s="211"/>
      <c r="P114" s="68"/>
      <c r="Q114" s="69"/>
      <c r="R114" s="70"/>
      <c r="S114" s="70"/>
      <c r="T114" s="70"/>
      <c r="V114" s="75"/>
    </row>
    <row r="115" spans="1:22" ht="23.25">
      <c r="A115" s="196">
        <v>112</v>
      </c>
      <c r="B115" s="196" t="s">
        <v>473</v>
      </c>
      <c r="C115" s="196" t="s">
        <v>463</v>
      </c>
      <c r="D115" s="196" t="s">
        <v>474</v>
      </c>
      <c r="E115" s="197">
        <v>42638</v>
      </c>
      <c r="F115" s="196">
        <v>1225</v>
      </c>
      <c r="G115" s="211"/>
      <c r="H115" s="211"/>
      <c r="I115" s="211"/>
      <c r="J115" s="211"/>
      <c r="K115" s="211"/>
    </row>
    <row r="116" spans="1:22" ht="23.25">
      <c r="A116" s="196">
        <v>113</v>
      </c>
      <c r="B116" s="196" t="s">
        <v>467</v>
      </c>
      <c r="C116" s="196" t="s">
        <v>468</v>
      </c>
      <c r="D116" s="196" t="s">
        <v>478</v>
      </c>
      <c r="E116" s="197">
        <v>41939</v>
      </c>
      <c r="F116" s="196">
        <v>24538</v>
      </c>
      <c r="G116" s="211"/>
      <c r="H116" s="211"/>
      <c r="I116" s="211"/>
      <c r="J116" s="211"/>
      <c r="K116" s="211"/>
    </row>
    <row r="117" spans="1:22" ht="23.25">
      <c r="A117" s="196">
        <v>114</v>
      </c>
      <c r="B117" s="196" t="s">
        <v>471</v>
      </c>
      <c r="C117" s="196" t="s">
        <v>463</v>
      </c>
      <c r="D117" s="196" t="s">
        <v>339</v>
      </c>
      <c r="E117" s="197">
        <v>42406</v>
      </c>
      <c r="F117" s="196">
        <v>167</v>
      </c>
      <c r="G117" s="211"/>
      <c r="H117" s="211"/>
      <c r="I117" s="211"/>
      <c r="J117" s="211"/>
      <c r="K117" s="211"/>
    </row>
    <row r="118" spans="1:22" ht="23.25">
      <c r="A118" s="196">
        <v>115</v>
      </c>
      <c r="B118" s="196" t="s">
        <v>469</v>
      </c>
      <c r="C118" s="196" t="s">
        <v>463</v>
      </c>
      <c r="D118" s="196" t="s">
        <v>344</v>
      </c>
      <c r="E118" s="197">
        <v>42393</v>
      </c>
      <c r="F118" s="196">
        <v>7538</v>
      </c>
      <c r="G118" s="211"/>
      <c r="H118" s="211"/>
      <c r="I118" s="211"/>
      <c r="J118" s="211"/>
      <c r="K118" s="211"/>
    </row>
    <row r="119" spans="1:22" ht="23.25">
      <c r="A119" s="196">
        <v>116</v>
      </c>
      <c r="B119" s="196" t="s">
        <v>473</v>
      </c>
      <c r="C119" s="196" t="s">
        <v>463</v>
      </c>
      <c r="D119" s="196" t="s">
        <v>476</v>
      </c>
      <c r="E119" s="197">
        <v>42352</v>
      </c>
      <c r="F119" s="196">
        <v>14383</v>
      </c>
      <c r="G119" s="211"/>
      <c r="H119" s="211"/>
      <c r="I119" s="211"/>
      <c r="J119" s="211"/>
      <c r="K119" s="211"/>
    </row>
    <row r="120" spans="1:22" ht="23.25">
      <c r="A120" s="196">
        <v>117</v>
      </c>
      <c r="B120" s="196" t="s">
        <v>464</v>
      </c>
      <c r="C120" s="196" t="s">
        <v>465</v>
      </c>
      <c r="D120" s="196" t="s">
        <v>478</v>
      </c>
      <c r="E120" s="197">
        <v>42891</v>
      </c>
      <c r="F120" s="196">
        <v>13032</v>
      </c>
      <c r="G120" s="211"/>
      <c r="H120" s="211"/>
      <c r="I120" s="211"/>
      <c r="J120" s="211"/>
      <c r="K120" s="211"/>
    </row>
    <row r="121" spans="1:22" ht="23.25">
      <c r="A121" s="196">
        <v>118</v>
      </c>
      <c r="B121" s="196" t="s">
        <v>471</v>
      </c>
      <c r="C121" s="196" t="s">
        <v>470</v>
      </c>
      <c r="D121" s="196" t="s">
        <v>339</v>
      </c>
      <c r="E121" s="197">
        <v>42092</v>
      </c>
      <c r="F121" s="196">
        <v>2713</v>
      </c>
      <c r="G121" s="211"/>
      <c r="H121" s="211"/>
      <c r="I121" s="211"/>
      <c r="J121" s="211"/>
      <c r="K121" s="211"/>
    </row>
    <row r="122" spans="1:22" ht="23.25">
      <c r="A122" s="196">
        <v>119</v>
      </c>
      <c r="B122" s="196" t="s">
        <v>471</v>
      </c>
      <c r="C122" s="196" t="s">
        <v>470</v>
      </c>
      <c r="D122" s="196" t="s">
        <v>350</v>
      </c>
      <c r="E122" s="197">
        <v>42471</v>
      </c>
      <c r="F122" s="196">
        <v>1855</v>
      </c>
      <c r="G122" s="211"/>
      <c r="H122" s="211"/>
      <c r="I122" s="211"/>
      <c r="J122" s="211"/>
      <c r="K122" s="211"/>
    </row>
    <row r="123" spans="1:22" ht="23.25">
      <c r="A123" s="196">
        <v>120</v>
      </c>
      <c r="B123" s="196" t="s">
        <v>473</v>
      </c>
      <c r="C123" s="196" t="s">
        <v>470</v>
      </c>
      <c r="D123" s="196" t="s">
        <v>339</v>
      </c>
      <c r="E123" s="197">
        <v>41982</v>
      </c>
      <c r="F123" s="196">
        <v>19449</v>
      </c>
      <c r="G123" s="211"/>
      <c r="H123" s="211"/>
      <c r="I123" s="211"/>
      <c r="J123" s="211"/>
      <c r="K123" s="211"/>
    </row>
    <row r="124" spans="1:22" ht="23.25">
      <c r="A124" s="196">
        <v>121</v>
      </c>
      <c r="B124" s="196" t="s">
        <v>464</v>
      </c>
      <c r="C124" s="196" t="s">
        <v>465</v>
      </c>
      <c r="D124" s="196" t="s">
        <v>479</v>
      </c>
      <c r="E124" s="197">
        <v>41950</v>
      </c>
      <c r="F124" s="196">
        <v>15019</v>
      </c>
      <c r="G124" s="211"/>
      <c r="H124" s="211"/>
      <c r="I124" s="211"/>
      <c r="J124" s="211"/>
      <c r="K124" s="211"/>
    </row>
    <row r="125" spans="1:22" ht="23.25">
      <c r="A125" s="196">
        <v>122</v>
      </c>
      <c r="B125" s="196" t="s">
        <v>464</v>
      </c>
      <c r="C125" s="196" t="s">
        <v>468</v>
      </c>
      <c r="D125" s="196" t="s">
        <v>478</v>
      </c>
      <c r="E125" s="197">
        <v>41916</v>
      </c>
      <c r="F125" s="196">
        <v>27634</v>
      </c>
      <c r="G125" s="211"/>
      <c r="H125" s="211"/>
      <c r="I125" s="211"/>
      <c r="J125" s="211"/>
      <c r="K125" s="211"/>
    </row>
    <row r="126" spans="1:22" ht="23.25">
      <c r="A126" s="196">
        <v>123</v>
      </c>
      <c r="B126" s="196" t="s">
        <v>467</v>
      </c>
      <c r="C126" s="196" t="s">
        <v>468</v>
      </c>
      <c r="D126" s="196" t="s">
        <v>472</v>
      </c>
      <c r="E126" s="197">
        <v>41912</v>
      </c>
      <c r="F126" s="196">
        <v>17038</v>
      </c>
      <c r="G126" s="211"/>
      <c r="H126" s="211"/>
      <c r="I126" s="211"/>
      <c r="J126" s="211"/>
      <c r="K126" s="211"/>
    </row>
    <row r="127" spans="1:22" ht="23.25">
      <c r="A127" s="196">
        <v>124</v>
      </c>
      <c r="B127" s="196" t="s">
        <v>469</v>
      </c>
      <c r="C127" s="196" t="s">
        <v>470</v>
      </c>
      <c r="D127" s="196" t="s">
        <v>474</v>
      </c>
      <c r="E127" s="197">
        <v>42380</v>
      </c>
      <c r="F127" s="196">
        <v>27874</v>
      </c>
      <c r="G127" s="211"/>
      <c r="H127" s="211"/>
      <c r="I127" s="211"/>
      <c r="J127" s="211"/>
      <c r="K127" s="211"/>
    </row>
    <row r="128" spans="1:22" ht="23.25">
      <c r="A128" s="196">
        <v>125</v>
      </c>
      <c r="B128" s="196" t="s">
        <v>473</v>
      </c>
      <c r="C128" s="196" t="s">
        <v>468</v>
      </c>
      <c r="D128" s="196" t="s">
        <v>346</v>
      </c>
      <c r="E128" s="197">
        <v>42397</v>
      </c>
      <c r="F128" s="196">
        <v>7782</v>
      </c>
      <c r="G128" s="211"/>
      <c r="H128" s="211"/>
      <c r="I128" s="211"/>
      <c r="J128" s="211"/>
      <c r="K128" s="211"/>
    </row>
    <row r="129" spans="1:11" ht="23.25">
      <c r="A129" s="196">
        <v>126</v>
      </c>
      <c r="B129" s="196" t="s">
        <v>464</v>
      </c>
      <c r="C129" s="196" t="s">
        <v>470</v>
      </c>
      <c r="D129" s="196" t="s">
        <v>346</v>
      </c>
      <c r="E129" s="197">
        <v>42505</v>
      </c>
      <c r="F129" s="196">
        <v>13295</v>
      </c>
      <c r="G129" s="211"/>
      <c r="H129" s="211"/>
      <c r="I129" s="211"/>
      <c r="J129" s="211"/>
      <c r="K129" s="211"/>
    </row>
    <row r="130" spans="1:11" ht="23.25">
      <c r="A130" s="196">
        <v>127</v>
      </c>
      <c r="B130" s="196" t="s">
        <v>464</v>
      </c>
      <c r="C130" s="196" t="s">
        <v>468</v>
      </c>
      <c r="D130" s="196" t="s">
        <v>346</v>
      </c>
      <c r="E130" s="197">
        <v>42398</v>
      </c>
      <c r="F130" s="196">
        <v>25178</v>
      </c>
      <c r="G130" s="211"/>
      <c r="H130" s="211"/>
      <c r="I130" s="211"/>
      <c r="J130" s="211"/>
      <c r="K130" s="211"/>
    </row>
    <row r="131" spans="1:11" ht="23.25">
      <c r="A131" s="196">
        <v>128</v>
      </c>
      <c r="B131" s="196" t="s">
        <v>462</v>
      </c>
      <c r="C131" s="196" t="s">
        <v>465</v>
      </c>
      <c r="D131" s="196" t="s">
        <v>348</v>
      </c>
      <c r="E131" s="197">
        <v>42789</v>
      </c>
      <c r="F131" s="196">
        <v>22175</v>
      </c>
      <c r="G131" s="211"/>
      <c r="H131" s="211"/>
      <c r="I131" s="211"/>
      <c r="J131" s="211"/>
      <c r="K131" s="211"/>
    </row>
    <row r="132" spans="1:11" ht="23.25">
      <c r="A132" s="196">
        <v>129</v>
      </c>
      <c r="B132" s="196" t="s">
        <v>471</v>
      </c>
      <c r="C132" s="196" t="s">
        <v>463</v>
      </c>
      <c r="D132" s="196" t="s">
        <v>346</v>
      </c>
      <c r="E132" s="197">
        <v>42163</v>
      </c>
      <c r="F132" s="196">
        <v>1509</v>
      </c>
      <c r="G132" s="211"/>
      <c r="H132" s="211"/>
      <c r="I132" s="211"/>
      <c r="J132" s="211"/>
      <c r="K132" s="211"/>
    </row>
    <row r="133" spans="1:11" ht="23.25">
      <c r="A133" s="196">
        <v>130</v>
      </c>
      <c r="B133" s="196" t="s">
        <v>462</v>
      </c>
      <c r="C133" s="196" t="s">
        <v>470</v>
      </c>
      <c r="D133" s="196" t="s">
        <v>346</v>
      </c>
      <c r="E133" s="197">
        <v>42773</v>
      </c>
      <c r="F133" s="196">
        <v>9664</v>
      </c>
      <c r="G133" s="211"/>
      <c r="H133" s="211"/>
      <c r="I133" s="211"/>
      <c r="J133" s="211"/>
      <c r="K133" s="211"/>
    </row>
    <row r="134" spans="1:11" ht="23.25">
      <c r="A134" s="196">
        <v>131</v>
      </c>
      <c r="B134" s="196" t="s">
        <v>471</v>
      </c>
      <c r="C134" s="196" t="s">
        <v>465</v>
      </c>
      <c r="D134" s="196" t="s">
        <v>466</v>
      </c>
      <c r="E134" s="197">
        <v>42128</v>
      </c>
      <c r="F134" s="196">
        <v>582</v>
      </c>
      <c r="G134" s="211"/>
      <c r="H134" s="211"/>
      <c r="I134" s="211"/>
      <c r="J134" s="211"/>
      <c r="K134" s="211"/>
    </row>
    <row r="135" spans="1:11" ht="23.25">
      <c r="A135" s="196">
        <v>132</v>
      </c>
      <c r="B135" s="196" t="s">
        <v>467</v>
      </c>
      <c r="C135" s="196" t="s">
        <v>468</v>
      </c>
      <c r="D135" s="196" t="s">
        <v>480</v>
      </c>
      <c r="E135" s="197">
        <v>41898</v>
      </c>
      <c r="F135" s="196">
        <v>12228</v>
      </c>
      <c r="G135" s="211"/>
      <c r="H135" s="211"/>
      <c r="I135" s="211"/>
      <c r="J135" s="211"/>
      <c r="K135" s="211"/>
    </row>
    <row r="136" spans="1:11" ht="23.25">
      <c r="A136" s="196">
        <v>133</v>
      </c>
      <c r="B136" s="196" t="s">
        <v>471</v>
      </c>
      <c r="C136" s="196" t="s">
        <v>470</v>
      </c>
      <c r="D136" s="196" t="s">
        <v>348</v>
      </c>
      <c r="E136" s="197">
        <v>42074</v>
      </c>
      <c r="F136" s="196">
        <v>18819</v>
      </c>
      <c r="G136" s="211"/>
      <c r="H136" s="211"/>
      <c r="I136" s="211"/>
      <c r="J136" s="211"/>
      <c r="K136" s="211"/>
    </row>
    <row r="137" spans="1:11" ht="23.25">
      <c r="A137" s="196">
        <v>134</v>
      </c>
      <c r="B137" s="196" t="s">
        <v>464</v>
      </c>
      <c r="C137" s="196" t="s">
        <v>465</v>
      </c>
      <c r="D137" s="196" t="s">
        <v>477</v>
      </c>
      <c r="E137" s="197">
        <v>42852</v>
      </c>
      <c r="F137" s="196">
        <v>1442</v>
      </c>
      <c r="G137" s="211"/>
      <c r="H137" s="211"/>
      <c r="I137" s="211"/>
      <c r="J137" s="211"/>
      <c r="K137" s="211"/>
    </row>
    <row r="138" spans="1:11" ht="23.25">
      <c r="A138" s="196">
        <v>135</v>
      </c>
      <c r="B138" s="196" t="s">
        <v>467</v>
      </c>
      <c r="C138" s="196" t="s">
        <v>470</v>
      </c>
      <c r="D138" s="196" t="s">
        <v>348</v>
      </c>
      <c r="E138" s="197">
        <v>41984</v>
      </c>
      <c r="F138" s="196">
        <v>9091</v>
      </c>
      <c r="G138" s="211"/>
      <c r="H138" s="211"/>
      <c r="I138" s="211"/>
      <c r="J138" s="211"/>
      <c r="K138" s="211"/>
    </row>
    <row r="139" spans="1:11" ht="23.25">
      <c r="A139" s="196">
        <v>136</v>
      </c>
      <c r="B139" s="196" t="s">
        <v>473</v>
      </c>
      <c r="C139" s="196" t="s">
        <v>470</v>
      </c>
      <c r="D139" s="196" t="s">
        <v>339</v>
      </c>
      <c r="E139" s="197">
        <v>42271</v>
      </c>
      <c r="F139" s="196">
        <v>2713</v>
      </c>
      <c r="G139" s="211"/>
      <c r="H139" s="211"/>
      <c r="I139" s="211"/>
      <c r="J139" s="211"/>
      <c r="K139" s="211"/>
    </row>
    <row r="140" spans="1:11" ht="23.25">
      <c r="A140" s="196">
        <v>137</v>
      </c>
      <c r="B140" s="196" t="s">
        <v>467</v>
      </c>
      <c r="C140" s="196" t="s">
        <v>465</v>
      </c>
      <c r="D140" s="196" t="s">
        <v>475</v>
      </c>
      <c r="E140" s="197">
        <v>42453</v>
      </c>
      <c r="F140" s="196">
        <v>25074</v>
      </c>
      <c r="G140" s="211"/>
      <c r="H140" s="211"/>
      <c r="I140" s="211"/>
      <c r="J140" s="211"/>
      <c r="K140" s="211"/>
    </row>
    <row r="141" spans="1:11" ht="23.25">
      <c r="A141" s="196">
        <v>138</v>
      </c>
      <c r="B141" s="196" t="s">
        <v>467</v>
      </c>
      <c r="C141" s="196" t="s">
        <v>470</v>
      </c>
      <c r="D141" s="196" t="s">
        <v>344</v>
      </c>
      <c r="E141" s="197">
        <v>42161</v>
      </c>
      <c r="F141" s="196">
        <v>12658</v>
      </c>
      <c r="G141" s="211"/>
      <c r="H141" s="211"/>
      <c r="I141" s="211"/>
      <c r="J141" s="211"/>
      <c r="K141" s="211"/>
    </row>
    <row r="142" spans="1:11" ht="23.25">
      <c r="A142" s="196">
        <v>139</v>
      </c>
      <c r="B142" s="196" t="s">
        <v>469</v>
      </c>
      <c r="C142" s="196" t="s">
        <v>470</v>
      </c>
      <c r="D142" s="196" t="s">
        <v>350</v>
      </c>
      <c r="E142" s="197">
        <v>42541</v>
      </c>
      <c r="F142" s="196">
        <v>4562</v>
      </c>
      <c r="G142" s="211"/>
      <c r="H142" s="211"/>
      <c r="I142" s="211"/>
      <c r="J142" s="211"/>
      <c r="K142" s="211"/>
    </row>
    <row r="143" spans="1:11" ht="23.25">
      <c r="A143" s="196">
        <v>140</v>
      </c>
      <c r="B143" s="196" t="s">
        <v>464</v>
      </c>
      <c r="C143" s="196" t="s">
        <v>465</v>
      </c>
      <c r="D143" s="196" t="s">
        <v>350</v>
      </c>
      <c r="E143" s="197">
        <v>42146</v>
      </c>
      <c r="F143" s="196">
        <v>23050</v>
      </c>
      <c r="G143" s="211"/>
      <c r="H143" s="211"/>
      <c r="I143" s="211"/>
      <c r="J143" s="211"/>
      <c r="K143" s="211"/>
    </row>
    <row r="144" spans="1:11" ht="23.25">
      <c r="A144" s="196">
        <v>141</v>
      </c>
      <c r="B144" s="196" t="s">
        <v>467</v>
      </c>
      <c r="C144" s="196" t="s">
        <v>468</v>
      </c>
      <c r="D144" s="196" t="s">
        <v>474</v>
      </c>
      <c r="E144" s="197">
        <v>41993</v>
      </c>
      <c r="F144" s="196">
        <v>7838</v>
      </c>
      <c r="G144" s="211"/>
      <c r="H144" s="211"/>
      <c r="I144" s="211"/>
      <c r="J144" s="211"/>
      <c r="K144" s="211"/>
    </row>
    <row r="145" spans="1:11" ht="23.25">
      <c r="A145" s="196">
        <v>142</v>
      </c>
      <c r="B145" s="196" t="s">
        <v>473</v>
      </c>
      <c r="C145" s="196" t="s">
        <v>463</v>
      </c>
      <c r="D145" s="196" t="s">
        <v>346</v>
      </c>
      <c r="E145" s="197">
        <v>42165</v>
      </c>
      <c r="F145" s="196">
        <v>1509</v>
      </c>
      <c r="G145" s="211"/>
      <c r="H145" s="211"/>
      <c r="I145" s="211"/>
      <c r="J145" s="211"/>
      <c r="K145" s="211"/>
    </row>
    <row r="146" spans="1:11" ht="23.25">
      <c r="A146" s="196">
        <v>143</v>
      </c>
      <c r="B146" s="196" t="s">
        <v>464</v>
      </c>
      <c r="C146" s="196" t="s">
        <v>468</v>
      </c>
      <c r="D146" s="196" t="s">
        <v>476</v>
      </c>
      <c r="E146" s="197">
        <v>42339</v>
      </c>
      <c r="F146" s="196">
        <v>25257</v>
      </c>
      <c r="G146" s="211"/>
      <c r="H146" s="211"/>
      <c r="I146" s="211"/>
      <c r="J146" s="211"/>
      <c r="K146" s="211"/>
    </row>
    <row r="147" spans="1:11" ht="23.25">
      <c r="A147" s="196">
        <v>144</v>
      </c>
      <c r="B147" s="196" t="s">
        <v>469</v>
      </c>
      <c r="C147" s="196" t="s">
        <v>465</v>
      </c>
      <c r="D147" s="196" t="s">
        <v>477</v>
      </c>
      <c r="E147" s="197">
        <v>42104</v>
      </c>
      <c r="F147" s="196">
        <v>15843</v>
      </c>
      <c r="G147" s="211"/>
      <c r="H147" s="211"/>
      <c r="I147" s="211"/>
      <c r="J147" s="211"/>
      <c r="K147" s="211"/>
    </row>
    <row r="148" spans="1:11" ht="23.25">
      <c r="A148" s="196">
        <v>145</v>
      </c>
      <c r="B148" s="196" t="s">
        <v>464</v>
      </c>
      <c r="C148" s="196" t="s">
        <v>468</v>
      </c>
      <c r="D148" s="196" t="s">
        <v>480</v>
      </c>
      <c r="E148" s="197">
        <v>42691</v>
      </c>
      <c r="F148" s="196">
        <v>11832</v>
      </c>
      <c r="G148" s="211"/>
      <c r="H148" s="211"/>
      <c r="I148" s="211"/>
      <c r="J148" s="211"/>
      <c r="K148" s="211"/>
    </row>
    <row r="149" spans="1:11" ht="23.25">
      <c r="A149" s="196">
        <v>146</v>
      </c>
      <c r="B149" s="196" t="s">
        <v>467</v>
      </c>
      <c r="C149" s="196" t="s">
        <v>470</v>
      </c>
      <c r="D149" s="196" t="s">
        <v>466</v>
      </c>
      <c r="E149" s="197">
        <v>42569</v>
      </c>
      <c r="F149" s="196">
        <v>8988</v>
      </c>
      <c r="G149" s="211"/>
      <c r="H149" s="211"/>
      <c r="I149" s="211"/>
      <c r="J149" s="211"/>
      <c r="K149" s="211"/>
    </row>
    <row r="150" spans="1:11" ht="23.25">
      <c r="A150" s="196">
        <v>147</v>
      </c>
      <c r="B150" s="196" t="s">
        <v>462</v>
      </c>
      <c r="C150" s="196" t="s">
        <v>463</v>
      </c>
      <c r="D150" s="196" t="s">
        <v>466</v>
      </c>
      <c r="E150" s="197">
        <v>42033</v>
      </c>
      <c r="F150" s="196">
        <v>20141</v>
      </c>
      <c r="G150" s="211"/>
      <c r="H150" s="211"/>
      <c r="I150" s="211"/>
      <c r="J150" s="211"/>
      <c r="K150" s="211"/>
    </row>
    <row r="151" spans="1:11" ht="23.25">
      <c r="A151" s="196">
        <v>148</v>
      </c>
      <c r="B151" s="196" t="s">
        <v>471</v>
      </c>
      <c r="C151" s="196" t="s">
        <v>470</v>
      </c>
      <c r="D151" s="196" t="s">
        <v>466</v>
      </c>
      <c r="E151" s="197">
        <v>42301</v>
      </c>
      <c r="F151" s="196">
        <v>12564</v>
      </c>
      <c r="G151" s="211"/>
      <c r="H151" s="211"/>
      <c r="I151" s="211"/>
      <c r="J151" s="211"/>
      <c r="K151" s="211"/>
    </row>
    <row r="152" spans="1:11" ht="23.25">
      <c r="A152" s="196">
        <v>149</v>
      </c>
      <c r="B152" s="196" t="s">
        <v>462</v>
      </c>
      <c r="C152" s="196" t="s">
        <v>465</v>
      </c>
      <c r="D152" s="196" t="s">
        <v>475</v>
      </c>
      <c r="E152" s="197">
        <v>42796</v>
      </c>
      <c r="F152" s="196">
        <v>19069</v>
      </c>
      <c r="G152" s="211"/>
      <c r="H152" s="211"/>
      <c r="I152" s="211"/>
      <c r="J152" s="211"/>
      <c r="K152" s="211"/>
    </row>
    <row r="153" spans="1:11" ht="23.25">
      <c r="A153" s="196">
        <v>150</v>
      </c>
      <c r="B153" s="196" t="s">
        <v>473</v>
      </c>
      <c r="C153" s="196" t="s">
        <v>470</v>
      </c>
      <c r="D153" s="196" t="s">
        <v>466</v>
      </c>
      <c r="E153" s="197">
        <v>42142</v>
      </c>
      <c r="F153" s="196">
        <v>12564</v>
      </c>
      <c r="G153" s="211"/>
      <c r="H153" s="211"/>
      <c r="I153" s="211"/>
      <c r="J153" s="211"/>
      <c r="K153" s="211"/>
    </row>
    <row r="154" spans="1:11" ht="23.25">
      <c r="A154" s="196">
        <v>151</v>
      </c>
      <c r="B154" s="196" t="s">
        <v>473</v>
      </c>
      <c r="C154" s="196" t="s">
        <v>470</v>
      </c>
      <c r="D154" s="196" t="s">
        <v>478</v>
      </c>
      <c r="E154" s="197">
        <v>42090</v>
      </c>
      <c r="F154" s="196">
        <v>16242</v>
      </c>
      <c r="G154" s="211"/>
      <c r="H154" s="211"/>
      <c r="I154" s="211"/>
      <c r="J154" s="211"/>
      <c r="K154" s="211"/>
    </row>
    <row r="155" spans="1:11" ht="23.25">
      <c r="A155" s="196">
        <v>152</v>
      </c>
      <c r="B155" s="196" t="s">
        <v>462</v>
      </c>
      <c r="C155" s="196" t="s">
        <v>470</v>
      </c>
      <c r="D155" s="196" t="s">
        <v>478</v>
      </c>
      <c r="E155" s="197">
        <v>42245</v>
      </c>
      <c r="F155" s="196">
        <v>6361</v>
      </c>
      <c r="G155" s="211"/>
      <c r="H155" s="211"/>
      <c r="I155" s="211"/>
      <c r="J155" s="211"/>
      <c r="K155" s="211"/>
    </row>
    <row r="156" spans="1:11" ht="23.25">
      <c r="A156" s="196">
        <v>153</v>
      </c>
      <c r="B156" s="196" t="s">
        <v>467</v>
      </c>
      <c r="C156" s="196" t="s">
        <v>465</v>
      </c>
      <c r="D156" s="196" t="s">
        <v>344</v>
      </c>
      <c r="E156" s="197">
        <v>41962</v>
      </c>
      <c r="F156" s="196">
        <v>8672</v>
      </c>
      <c r="G156" s="211"/>
      <c r="H156" s="211"/>
      <c r="I156" s="211"/>
      <c r="J156" s="211"/>
      <c r="K156" s="211"/>
    </row>
    <row r="157" spans="1:11" ht="23.25">
      <c r="A157" s="196">
        <v>154</v>
      </c>
      <c r="B157" s="196" t="s">
        <v>471</v>
      </c>
      <c r="C157" s="196" t="s">
        <v>463</v>
      </c>
      <c r="D157" s="196" t="s">
        <v>344</v>
      </c>
      <c r="E157" s="197">
        <v>42269</v>
      </c>
      <c r="F157" s="196">
        <v>5326</v>
      </c>
      <c r="G157" s="211"/>
      <c r="H157" s="211"/>
      <c r="I157" s="211"/>
      <c r="J157" s="211"/>
      <c r="K157" s="211"/>
    </row>
    <row r="158" spans="1:11" ht="23.25">
      <c r="A158" s="196">
        <v>155</v>
      </c>
      <c r="B158" s="196" t="s">
        <v>462</v>
      </c>
      <c r="C158" s="196" t="s">
        <v>468</v>
      </c>
      <c r="D158" s="196" t="s">
        <v>474</v>
      </c>
      <c r="E158" s="197">
        <v>41965</v>
      </c>
      <c r="F158" s="196">
        <v>15037</v>
      </c>
      <c r="G158" s="211"/>
      <c r="H158" s="211"/>
      <c r="I158" s="211"/>
      <c r="J158" s="211"/>
      <c r="K158" s="211"/>
    </row>
    <row r="159" spans="1:11" ht="23.25">
      <c r="A159" s="196">
        <v>156</v>
      </c>
      <c r="B159" s="196" t="s">
        <v>469</v>
      </c>
      <c r="C159" s="196" t="s">
        <v>463</v>
      </c>
      <c r="D159" s="196" t="s">
        <v>346</v>
      </c>
      <c r="E159" s="197">
        <v>42554</v>
      </c>
      <c r="F159" s="196">
        <v>13486</v>
      </c>
      <c r="G159" s="211"/>
      <c r="H159" s="211"/>
      <c r="I159" s="211"/>
      <c r="J159" s="211"/>
      <c r="K159" s="211"/>
    </row>
    <row r="160" spans="1:11" ht="23.25">
      <c r="A160" s="196">
        <v>157</v>
      </c>
      <c r="B160" s="196" t="s">
        <v>471</v>
      </c>
      <c r="C160" s="196" t="s">
        <v>465</v>
      </c>
      <c r="D160" s="196" t="s">
        <v>348</v>
      </c>
      <c r="E160" s="197">
        <v>42713</v>
      </c>
      <c r="F160" s="196">
        <v>258</v>
      </c>
      <c r="G160" s="211"/>
      <c r="H160" s="211"/>
      <c r="I160" s="211"/>
      <c r="J160" s="211"/>
      <c r="K160" s="211"/>
    </row>
    <row r="161" spans="1:11" ht="23.25">
      <c r="A161" s="196">
        <v>158</v>
      </c>
      <c r="B161" s="196" t="s">
        <v>473</v>
      </c>
      <c r="C161" s="196" t="s">
        <v>468</v>
      </c>
      <c r="D161" s="196" t="s">
        <v>344</v>
      </c>
      <c r="E161" s="197">
        <v>42398</v>
      </c>
      <c r="F161" s="196">
        <v>17436</v>
      </c>
      <c r="G161" s="211"/>
      <c r="H161" s="211"/>
      <c r="I161" s="211"/>
      <c r="J161" s="211"/>
      <c r="K161" s="211"/>
    </row>
    <row r="162" spans="1:11" ht="23.25">
      <c r="A162" s="196">
        <v>159</v>
      </c>
      <c r="B162" s="196" t="s">
        <v>473</v>
      </c>
      <c r="C162" s="196" t="s">
        <v>465</v>
      </c>
      <c r="D162" s="196" t="s">
        <v>348</v>
      </c>
      <c r="E162" s="197">
        <v>42856</v>
      </c>
      <c r="F162" s="196">
        <v>258</v>
      </c>
      <c r="G162" s="211"/>
      <c r="H162" s="211"/>
      <c r="I162" s="211"/>
      <c r="J162" s="211"/>
      <c r="K162" s="211"/>
    </row>
    <row r="163" spans="1:11" ht="23.25">
      <c r="A163" s="196">
        <v>160</v>
      </c>
      <c r="B163" s="196" t="s">
        <v>462</v>
      </c>
      <c r="C163" s="196" t="s">
        <v>468</v>
      </c>
      <c r="D163" s="196" t="s">
        <v>479</v>
      </c>
      <c r="E163" s="197">
        <v>42633</v>
      </c>
      <c r="F163" s="196">
        <v>21951</v>
      </c>
      <c r="G163" s="211"/>
      <c r="H163" s="211"/>
      <c r="I163" s="211"/>
      <c r="J163" s="211"/>
      <c r="K163" s="211"/>
    </row>
    <row r="164" spans="1:11" ht="23.25">
      <c r="A164" s="196">
        <v>161</v>
      </c>
      <c r="B164" s="196" t="s">
        <v>469</v>
      </c>
      <c r="C164" s="196" t="s">
        <v>470</v>
      </c>
      <c r="D164" s="196" t="s">
        <v>346</v>
      </c>
      <c r="E164" s="197">
        <v>42223</v>
      </c>
      <c r="F164" s="196">
        <v>5640</v>
      </c>
      <c r="G164" s="211"/>
      <c r="H164" s="211"/>
      <c r="I164" s="211"/>
      <c r="J164" s="211"/>
      <c r="K164" s="211"/>
    </row>
    <row r="165" spans="1:11" ht="23.25">
      <c r="A165" s="196">
        <v>162</v>
      </c>
      <c r="B165" s="196" t="s">
        <v>471</v>
      </c>
      <c r="C165" s="196" t="s">
        <v>465</v>
      </c>
      <c r="D165" s="196" t="s">
        <v>479</v>
      </c>
      <c r="E165" s="197">
        <v>42231</v>
      </c>
      <c r="F165" s="196">
        <v>4474</v>
      </c>
      <c r="G165" s="211"/>
      <c r="H165" s="211"/>
      <c r="I165" s="211"/>
      <c r="J165" s="211"/>
      <c r="K165" s="211"/>
    </row>
    <row r="166" spans="1:11" ht="23.25">
      <c r="A166" s="196">
        <v>163</v>
      </c>
      <c r="B166" s="196" t="s">
        <v>467</v>
      </c>
      <c r="C166" s="196" t="s">
        <v>465</v>
      </c>
      <c r="D166" s="196" t="s">
        <v>477</v>
      </c>
      <c r="E166" s="197">
        <v>42469</v>
      </c>
      <c r="F166" s="196">
        <v>28361</v>
      </c>
      <c r="G166" s="211"/>
      <c r="H166" s="211"/>
      <c r="I166" s="211"/>
      <c r="J166" s="211"/>
      <c r="K166" s="211"/>
    </row>
    <row r="167" spans="1:11" ht="23.25">
      <c r="A167" s="196">
        <v>164</v>
      </c>
      <c r="B167" s="196" t="s">
        <v>462</v>
      </c>
      <c r="C167" s="196" t="s">
        <v>468</v>
      </c>
      <c r="D167" s="196" t="s">
        <v>478</v>
      </c>
      <c r="E167" s="197">
        <v>42869</v>
      </c>
      <c r="F167" s="196">
        <v>12455</v>
      </c>
      <c r="G167" s="211"/>
      <c r="H167" s="211"/>
      <c r="I167" s="211"/>
      <c r="J167" s="211"/>
      <c r="K167" s="211"/>
    </row>
    <row r="168" spans="1:11" ht="23.25">
      <c r="A168" s="196">
        <v>165</v>
      </c>
      <c r="B168" s="196" t="s">
        <v>464</v>
      </c>
      <c r="C168" s="196" t="s">
        <v>463</v>
      </c>
      <c r="D168" s="196" t="s">
        <v>477</v>
      </c>
      <c r="E168" s="197">
        <v>42366</v>
      </c>
      <c r="F168" s="196">
        <v>9584</v>
      </c>
      <c r="G168" s="211"/>
      <c r="H168" s="211"/>
      <c r="I168" s="211"/>
      <c r="J168" s="211"/>
      <c r="K168" s="211"/>
    </row>
    <row r="169" spans="1:11" ht="23.25">
      <c r="A169" s="196">
        <v>166</v>
      </c>
      <c r="B169" s="196" t="s">
        <v>462</v>
      </c>
      <c r="C169" s="196" t="s">
        <v>470</v>
      </c>
      <c r="D169" s="196" t="s">
        <v>466</v>
      </c>
      <c r="E169" s="197">
        <v>42390</v>
      </c>
      <c r="F169" s="196">
        <v>9519</v>
      </c>
      <c r="G169" s="211"/>
      <c r="H169" s="211"/>
      <c r="I169" s="211"/>
      <c r="J169" s="211"/>
      <c r="K169" s="211"/>
    </row>
    <row r="170" spans="1:11" ht="23.25">
      <c r="A170" s="196">
        <v>167</v>
      </c>
      <c r="B170" s="196" t="s">
        <v>464</v>
      </c>
      <c r="C170" s="196" t="s">
        <v>470</v>
      </c>
      <c r="D170" s="196" t="s">
        <v>478</v>
      </c>
      <c r="E170" s="197">
        <v>42111</v>
      </c>
      <c r="F170" s="196">
        <v>11353</v>
      </c>
      <c r="G170" s="211"/>
      <c r="H170" s="211"/>
      <c r="I170" s="211"/>
      <c r="J170" s="211"/>
      <c r="K170" s="211"/>
    </row>
    <row r="171" spans="1:11" ht="23.25">
      <c r="A171" s="196">
        <v>168</v>
      </c>
      <c r="B171" s="196" t="s">
        <v>462</v>
      </c>
      <c r="C171" s="196" t="s">
        <v>468</v>
      </c>
      <c r="D171" s="196" t="s">
        <v>480</v>
      </c>
      <c r="E171" s="197">
        <v>42490</v>
      </c>
      <c r="F171" s="196">
        <v>18556</v>
      </c>
      <c r="G171" s="211"/>
      <c r="H171" s="211"/>
      <c r="I171" s="211"/>
      <c r="J171" s="211"/>
      <c r="K171" s="211"/>
    </row>
    <row r="172" spans="1:11" ht="23.25">
      <c r="A172" s="196">
        <v>169</v>
      </c>
      <c r="B172" s="196" t="s">
        <v>473</v>
      </c>
      <c r="C172" s="196" t="s">
        <v>463</v>
      </c>
      <c r="D172" s="196" t="s">
        <v>348</v>
      </c>
      <c r="E172" s="197">
        <v>42050</v>
      </c>
      <c r="F172" s="196">
        <v>19116</v>
      </c>
      <c r="G172" s="211"/>
      <c r="H172" s="211"/>
      <c r="I172" s="211"/>
      <c r="J172" s="211"/>
      <c r="K172" s="211"/>
    </row>
    <row r="173" spans="1:11" ht="23.25">
      <c r="A173" s="196">
        <v>170</v>
      </c>
      <c r="B173" s="196" t="s">
        <v>469</v>
      </c>
      <c r="C173" s="196" t="s">
        <v>465</v>
      </c>
      <c r="D173" s="196" t="s">
        <v>479</v>
      </c>
      <c r="E173" s="197">
        <v>42761</v>
      </c>
      <c r="F173" s="196">
        <v>22424</v>
      </c>
      <c r="G173" s="211"/>
      <c r="H173" s="211"/>
      <c r="I173" s="211"/>
      <c r="J173" s="211"/>
      <c r="K173" s="211"/>
    </row>
    <row r="174" spans="1:11" ht="23.25">
      <c r="A174" s="196">
        <v>171</v>
      </c>
      <c r="B174" s="196" t="s">
        <v>462</v>
      </c>
      <c r="C174" s="196" t="s">
        <v>470</v>
      </c>
      <c r="D174" s="196" t="s">
        <v>480</v>
      </c>
      <c r="E174" s="197">
        <v>42335</v>
      </c>
      <c r="F174" s="196">
        <v>16445</v>
      </c>
      <c r="G174" s="211"/>
      <c r="H174" s="211"/>
      <c r="I174" s="211"/>
      <c r="J174" s="211"/>
      <c r="K174" s="211"/>
    </row>
    <row r="175" spans="1:11" ht="23.25">
      <c r="A175" s="196">
        <v>172</v>
      </c>
      <c r="B175" s="196" t="s">
        <v>471</v>
      </c>
      <c r="C175" s="196" t="s">
        <v>465</v>
      </c>
      <c r="D175" s="196" t="s">
        <v>350</v>
      </c>
      <c r="E175" s="197">
        <v>42234</v>
      </c>
      <c r="F175" s="196">
        <v>2757</v>
      </c>
      <c r="G175" s="211"/>
      <c r="H175" s="211"/>
      <c r="I175" s="211"/>
      <c r="J175" s="211"/>
      <c r="K175" s="211"/>
    </row>
    <row r="176" spans="1:11" ht="23.25">
      <c r="A176" s="196">
        <v>173</v>
      </c>
      <c r="B176" s="196" t="s">
        <v>473</v>
      </c>
      <c r="C176" s="196" t="s">
        <v>463</v>
      </c>
      <c r="D176" s="196" t="s">
        <v>476</v>
      </c>
      <c r="E176" s="197">
        <v>42572</v>
      </c>
      <c r="F176" s="196">
        <v>19774</v>
      </c>
      <c r="G176" s="211"/>
      <c r="H176" s="211"/>
      <c r="I176" s="211"/>
      <c r="J176" s="211"/>
      <c r="K176" s="211"/>
    </row>
    <row r="177" spans="1:11" ht="23.25">
      <c r="A177" s="196">
        <v>174</v>
      </c>
      <c r="B177" s="196" t="s">
        <v>462</v>
      </c>
      <c r="C177" s="196" t="s">
        <v>468</v>
      </c>
      <c r="D177" s="196" t="s">
        <v>477</v>
      </c>
      <c r="E177" s="197">
        <v>42257</v>
      </c>
      <c r="F177" s="196">
        <v>10902</v>
      </c>
      <c r="G177" s="211"/>
      <c r="H177" s="211"/>
      <c r="I177" s="211"/>
      <c r="J177" s="211"/>
      <c r="K177" s="211"/>
    </row>
    <row r="178" spans="1:11" ht="23.25">
      <c r="A178" s="196">
        <v>175</v>
      </c>
      <c r="B178" s="196" t="s">
        <v>471</v>
      </c>
      <c r="C178" s="196" t="s">
        <v>470</v>
      </c>
      <c r="D178" s="196" t="s">
        <v>478</v>
      </c>
      <c r="E178" s="197">
        <v>42668</v>
      </c>
      <c r="F178" s="196">
        <v>16242</v>
      </c>
      <c r="G178" s="211"/>
      <c r="H178" s="211"/>
      <c r="I178" s="211"/>
      <c r="J178" s="211"/>
      <c r="K178" s="211"/>
    </row>
    <row r="179" spans="1:11" ht="23.25">
      <c r="A179" s="196">
        <v>176</v>
      </c>
      <c r="B179" s="196" t="s">
        <v>464</v>
      </c>
      <c r="C179" s="196" t="s">
        <v>465</v>
      </c>
      <c r="D179" s="196" t="s">
        <v>348</v>
      </c>
      <c r="E179" s="197">
        <v>42814</v>
      </c>
      <c r="F179" s="196">
        <v>12971</v>
      </c>
      <c r="G179" s="211"/>
      <c r="H179" s="211"/>
      <c r="I179" s="211"/>
      <c r="J179" s="211"/>
      <c r="K179" s="211"/>
    </row>
    <row r="180" spans="1:11" ht="23.25">
      <c r="A180" s="196">
        <v>177</v>
      </c>
      <c r="B180" s="196" t="s">
        <v>462</v>
      </c>
      <c r="C180" s="196" t="s">
        <v>463</v>
      </c>
      <c r="D180" s="196" t="s">
        <v>477</v>
      </c>
      <c r="E180" s="197">
        <v>42694</v>
      </c>
      <c r="F180" s="196">
        <v>5066</v>
      </c>
      <c r="G180" s="211"/>
      <c r="H180" s="211"/>
      <c r="I180" s="211"/>
      <c r="J180" s="211"/>
      <c r="K180" s="211"/>
    </row>
    <row r="181" spans="1:11" ht="23.25">
      <c r="A181" s="196">
        <v>178</v>
      </c>
      <c r="B181" s="196" t="s">
        <v>469</v>
      </c>
      <c r="C181" s="196" t="s">
        <v>465</v>
      </c>
      <c r="D181" s="196" t="s">
        <v>350</v>
      </c>
      <c r="E181" s="197">
        <v>42601</v>
      </c>
      <c r="F181" s="196">
        <v>1364</v>
      </c>
      <c r="G181" s="211"/>
      <c r="H181" s="211"/>
      <c r="I181" s="211"/>
      <c r="J181" s="211"/>
      <c r="K181" s="211"/>
    </row>
    <row r="182" spans="1:11" ht="23.25">
      <c r="A182" s="196">
        <v>179</v>
      </c>
      <c r="B182" s="196" t="s">
        <v>473</v>
      </c>
      <c r="C182" s="196" t="s">
        <v>465</v>
      </c>
      <c r="D182" s="196" t="s">
        <v>350</v>
      </c>
      <c r="E182" s="197">
        <v>42527</v>
      </c>
      <c r="F182" s="196">
        <v>2949</v>
      </c>
      <c r="G182" s="211"/>
      <c r="H182" s="211"/>
      <c r="I182" s="211"/>
      <c r="J182" s="211"/>
      <c r="K182" s="211"/>
    </row>
    <row r="183" spans="1:11" ht="23.25">
      <c r="A183" s="196">
        <v>180</v>
      </c>
      <c r="B183" s="196" t="s">
        <v>464</v>
      </c>
      <c r="C183" s="196" t="s">
        <v>465</v>
      </c>
      <c r="D183" s="196" t="s">
        <v>479</v>
      </c>
      <c r="E183" s="197">
        <v>42241</v>
      </c>
      <c r="F183" s="196">
        <v>15362</v>
      </c>
      <c r="G183" s="211"/>
      <c r="H183" s="211"/>
      <c r="I183" s="211"/>
      <c r="J183" s="211"/>
      <c r="K183" s="211"/>
    </row>
    <row r="184" spans="1:11" ht="23.25">
      <c r="A184" s="196">
        <v>181</v>
      </c>
      <c r="B184" s="196" t="s">
        <v>471</v>
      </c>
      <c r="C184" s="196" t="s">
        <v>468</v>
      </c>
      <c r="D184" s="196" t="s">
        <v>472</v>
      </c>
      <c r="E184" s="197">
        <v>42219</v>
      </c>
      <c r="F184" s="196">
        <v>13587</v>
      </c>
      <c r="G184" s="211"/>
      <c r="H184" s="211"/>
      <c r="I184" s="211"/>
      <c r="J184" s="211"/>
      <c r="K184" s="211"/>
    </row>
    <row r="185" spans="1:11" ht="23.25">
      <c r="A185" s="196">
        <v>182</v>
      </c>
      <c r="B185" s="196" t="s">
        <v>473</v>
      </c>
      <c r="C185" s="196" t="s">
        <v>463</v>
      </c>
      <c r="D185" s="196" t="s">
        <v>346</v>
      </c>
      <c r="E185" s="197">
        <v>42160</v>
      </c>
      <c r="F185" s="196">
        <v>11105</v>
      </c>
      <c r="G185" s="211"/>
      <c r="H185" s="211"/>
      <c r="I185" s="211"/>
      <c r="J185" s="211"/>
      <c r="K185" s="211"/>
    </row>
    <row r="186" spans="1:11" ht="23.25">
      <c r="A186" s="196">
        <v>183</v>
      </c>
      <c r="B186" s="196" t="s">
        <v>471</v>
      </c>
      <c r="C186" s="196" t="s">
        <v>463</v>
      </c>
      <c r="D186" s="196" t="s">
        <v>348</v>
      </c>
      <c r="E186" s="197">
        <v>42392</v>
      </c>
      <c r="F186" s="196">
        <v>19116</v>
      </c>
      <c r="G186" s="211"/>
      <c r="H186" s="211"/>
      <c r="I186" s="211"/>
      <c r="J186" s="211"/>
      <c r="K186" s="211"/>
    </row>
    <row r="187" spans="1:11" ht="23.25">
      <c r="A187" s="196">
        <v>184</v>
      </c>
      <c r="B187" s="196" t="s">
        <v>471</v>
      </c>
      <c r="C187" s="196" t="s">
        <v>463</v>
      </c>
      <c r="D187" s="196" t="s">
        <v>477</v>
      </c>
      <c r="E187" s="197">
        <v>42101</v>
      </c>
      <c r="F187" s="196">
        <v>14751</v>
      </c>
      <c r="G187" s="211"/>
      <c r="H187" s="211"/>
      <c r="I187" s="211"/>
      <c r="J187" s="211"/>
      <c r="K187" s="211"/>
    </row>
    <row r="188" spans="1:11" ht="23.25">
      <c r="A188" s="196">
        <v>185</v>
      </c>
      <c r="B188" s="196" t="s">
        <v>471</v>
      </c>
      <c r="C188" s="196" t="s">
        <v>470</v>
      </c>
      <c r="D188" s="196" t="s">
        <v>339</v>
      </c>
      <c r="E188" s="197">
        <v>41955</v>
      </c>
      <c r="F188" s="196">
        <v>19449</v>
      </c>
      <c r="G188" s="211"/>
      <c r="H188" s="211"/>
      <c r="I188" s="211"/>
      <c r="J188" s="211"/>
      <c r="K188" s="211"/>
    </row>
    <row r="189" spans="1:11" ht="23.25">
      <c r="A189" s="196">
        <v>186</v>
      </c>
      <c r="B189" s="196" t="s">
        <v>473</v>
      </c>
      <c r="C189" s="196" t="s">
        <v>468</v>
      </c>
      <c r="D189" s="196" t="s">
        <v>472</v>
      </c>
      <c r="E189" s="197">
        <v>42557</v>
      </c>
      <c r="F189" s="196">
        <v>1801</v>
      </c>
      <c r="G189" s="211"/>
      <c r="H189" s="211"/>
      <c r="I189" s="211"/>
      <c r="J189" s="211"/>
      <c r="K189" s="211"/>
    </row>
    <row r="190" spans="1:11" ht="23.25">
      <c r="A190" s="196">
        <v>187</v>
      </c>
      <c r="B190" s="196" t="s">
        <v>473</v>
      </c>
      <c r="C190" s="196" t="s">
        <v>468</v>
      </c>
      <c r="D190" s="196" t="s">
        <v>478</v>
      </c>
      <c r="E190" s="197">
        <v>42475</v>
      </c>
      <c r="F190" s="196">
        <v>3749</v>
      </c>
      <c r="G190" s="211"/>
      <c r="H190" s="211"/>
      <c r="I190" s="211"/>
      <c r="J190" s="211"/>
      <c r="K190" s="211"/>
    </row>
    <row r="191" spans="1:11" ht="23.25">
      <c r="A191" s="196">
        <v>188</v>
      </c>
      <c r="B191" s="196" t="s">
        <v>462</v>
      </c>
      <c r="C191" s="196" t="s">
        <v>465</v>
      </c>
      <c r="D191" s="196" t="s">
        <v>479</v>
      </c>
      <c r="E191" s="197">
        <v>42746</v>
      </c>
      <c r="F191" s="196">
        <v>10570</v>
      </c>
      <c r="G191" s="211"/>
      <c r="H191" s="211"/>
      <c r="I191" s="211"/>
      <c r="J191" s="211"/>
      <c r="K191" s="211"/>
    </row>
    <row r="192" spans="1:11" ht="23.25">
      <c r="A192" s="196">
        <v>189</v>
      </c>
      <c r="B192" s="196" t="s">
        <v>464</v>
      </c>
      <c r="C192" s="196" t="s">
        <v>465</v>
      </c>
      <c r="D192" s="196" t="s">
        <v>475</v>
      </c>
      <c r="E192" s="197">
        <v>42636</v>
      </c>
      <c r="F192" s="196">
        <v>22816</v>
      </c>
      <c r="G192" s="211"/>
      <c r="H192" s="211"/>
      <c r="I192" s="211"/>
      <c r="J192" s="211"/>
      <c r="K192" s="211"/>
    </row>
    <row r="193" spans="1:11" ht="23.25">
      <c r="A193" s="196">
        <v>190</v>
      </c>
      <c r="B193" s="196" t="s">
        <v>467</v>
      </c>
      <c r="C193" s="196" t="s">
        <v>463</v>
      </c>
      <c r="D193" s="196" t="s">
        <v>344</v>
      </c>
      <c r="E193" s="197">
        <v>42753</v>
      </c>
      <c r="F193" s="196">
        <v>18639</v>
      </c>
      <c r="G193" s="211"/>
      <c r="H193" s="211"/>
      <c r="I193" s="211"/>
      <c r="J193" s="211"/>
      <c r="K193" s="211"/>
    </row>
    <row r="194" spans="1:11" ht="23.25">
      <c r="A194" s="196">
        <v>191</v>
      </c>
      <c r="B194" s="196" t="s">
        <v>464</v>
      </c>
      <c r="C194" s="196" t="s">
        <v>468</v>
      </c>
      <c r="D194" s="196" t="s">
        <v>475</v>
      </c>
      <c r="E194" s="197">
        <v>42075</v>
      </c>
      <c r="F194" s="196">
        <v>10068</v>
      </c>
      <c r="G194" s="211"/>
      <c r="H194" s="211"/>
      <c r="I194" s="211"/>
      <c r="J194" s="211"/>
      <c r="K194" s="211"/>
    </row>
    <row r="195" spans="1:11" ht="23.25">
      <c r="A195" s="196">
        <v>192</v>
      </c>
      <c r="B195" s="196" t="s">
        <v>462</v>
      </c>
      <c r="C195" s="196" t="s">
        <v>468</v>
      </c>
      <c r="D195" s="196" t="s">
        <v>346</v>
      </c>
      <c r="E195" s="197">
        <v>42820</v>
      </c>
      <c r="F195" s="196">
        <v>5685</v>
      </c>
      <c r="G195" s="211"/>
      <c r="H195" s="211"/>
      <c r="I195" s="211"/>
      <c r="J195" s="211"/>
      <c r="K195" s="211"/>
    </row>
    <row r="196" spans="1:11" ht="23.25">
      <c r="A196" s="196">
        <v>193</v>
      </c>
      <c r="B196" s="196" t="s">
        <v>467</v>
      </c>
      <c r="C196" s="196" t="s">
        <v>470</v>
      </c>
      <c r="D196" s="196" t="s">
        <v>474</v>
      </c>
      <c r="E196" s="197">
        <v>41934</v>
      </c>
      <c r="F196" s="196">
        <v>9990</v>
      </c>
      <c r="G196" s="211"/>
      <c r="H196" s="211"/>
      <c r="I196" s="211"/>
      <c r="J196" s="211"/>
      <c r="K196" s="211"/>
    </row>
    <row r="197" spans="1:11" ht="23.25">
      <c r="A197" s="196">
        <v>194</v>
      </c>
      <c r="B197" s="196" t="s">
        <v>462</v>
      </c>
      <c r="C197" s="196" t="s">
        <v>468</v>
      </c>
      <c r="D197" s="196" t="s">
        <v>472</v>
      </c>
      <c r="E197" s="197">
        <v>42036</v>
      </c>
      <c r="F197" s="196">
        <v>18664</v>
      </c>
      <c r="G197" s="211"/>
      <c r="H197" s="211"/>
      <c r="I197" s="211"/>
      <c r="J197" s="211"/>
      <c r="K197" s="211"/>
    </row>
    <row r="198" spans="1:11" ht="23.25">
      <c r="A198" s="196">
        <v>195</v>
      </c>
      <c r="B198" s="196" t="s">
        <v>471</v>
      </c>
      <c r="C198" s="196" t="s">
        <v>463</v>
      </c>
      <c r="D198" s="196" t="s">
        <v>476</v>
      </c>
      <c r="E198" s="197">
        <v>42027</v>
      </c>
      <c r="F198" s="196">
        <v>14383</v>
      </c>
      <c r="G198" s="211"/>
      <c r="H198" s="211"/>
      <c r="I198" s="211"/>
      <c r="J198" s="211"/>
      <c r="K198" s="211"/>
    </row>
    <row r="199" spans="1:11" ht="23.25">
      <c r="A199" s="196">
        <v>196</v>
      </c>
      <c r="B199" s="196" t="s">
        <v>471</v>
      </c>
      <c r="C199" s="196" t="s">
        <v>463</v>
      </c>
      <c r="D199" s="196" t="s">
        <v>475</v>
      </c>
      <c r="E199" s="197">
        <v>42576</v>
      </c>
      <c r="F199" s="196">
        <v>5706</v>
      </c>
      <c r="G199" s="211"/>
      <c r="H199" s="211"/>
      <c r="I199" s="211"/>
      <c r="J199" s="211"/>
      <c r="K199" s="211"/>
    </row>
    <row r="200" spans="1:11" ht="23.25">
      <c r="A200" s="196">
        <v>197</v>
      </c>
      <c r="B200" s="196" t="s">
        <v>473</v>
      </c>
      <c r="C200" s="196" t="s">
        <v>465</v>
      </c>
      <c r="D200" s="196" t="s">
        <v>466</v>
      </c>
      <c r="E200" s="197">
        <v>42360</v>
      </c>
      <c r="F200" s="196">
        <v>582</v>
      </c>
      <c r="G200" s="211"/>
      <c r="H200" s="211"/>
      <c r="I200" s="211"/>
      <c r="J200" s="211"/>
      <c r="K200" s="211"/>
    </row>
    <row r="201" spans="1:11" ht="23.25">
      <c r="A201" s="196">
        <v>198</v>
      </c>
      <c r="B201" s="196" t="s">
        <v>469</v>
      </c>
      <c r="C201" s="196" t="s">
        <v>470</v>
      </c>
      <c r="D201" s="196" t="s">
        <v>339</v>
      </c>
      <c r="E201" s="197">
        <v>42068</v>
      </c>
      <c r="F201" s="196">
        <v>26609</v>
      </c>
      <c r="G201" s="211"/>
      <c r="H201" s="211"/>
      <c r="I201" s="211"/>
      <c r="J201" s="211"/>
      <c r="K201" s="211"/>
    </row>
    <row r="202" spans="1:11" ht="23.25">
      <c r="A202" s="196">
        <v>199</v>
      </c>
      <c r="B202" s="196" t="s">
        <v>469</v>
      </c>
      <c r="C202" s="196" t="s">
        <v>468</v>
      </c>
      <c r="D202" s="196" t="s">
        <v>478</v>
      </c>
      <c r="E202" s="197">
        <v>42446</v>
      </c>
      <c r="F202" s="196">
        <v>13974</v>
      </c>
      <c r="G202" s="211"/>
      <c r="H202" s="211"/>
      <c r="I202" s="211"/>
      <c r="J202" s="211"/>
      <c r="K202" s="211"/>
    </row>
    <row r="203" spans="1:11" ht="23.25">
      <c r="A203" s="196">
        <v>200</v>
      </c>
      <c r="B203" s="196" t="s">
        <v>467</v>
      </c>
      <c r="C203" s="196" t="s">
        <v>470</v>
      </c>
      <c r="D203" s="196" t="s">
        <v>339</v>
      </c>
      <c r="E203" s="197">
        <v>42034</v>
      </c>
      <c r="F203" s="196">
        <v>15430</v>
      </c>
      <c r="G203" s="211"/>
      <c r="H203" s="211"/>
      <c r="I203" s="211"/>
      <c r="J203" s="211"/>
      <c r="K203" s="211"/>
    </row>
    <row r="204" spans="1:11" ht="23.25">
      <c r="A204" s="196">
        <v>201</v>
      </c>
      <c r="B204" s="196" t="s">
        <v>473</v>
      </c>
      <c r="C204" s="196" t="s">
        <v>468</v>
      </c>
      <c r="D204" s="196" t="s">
        <v>479</v>
      </c>
      <c r="E204" s="197">
        <v>41934</v>
      </c>
      <c r="F204" s="196">
        <v>5129</v>
      </c>
      <c r="G204" s="211"/>
      <c r="H204" s="211"/>
      <c r="I204" s="211"/>
      <c r="J204" s="211"/>
      <c r="K204" s="211"/>
    </row>
    <row r="205" spans="1:11" ht="23.25">
      <c r="A205" s="196">
        <v>202</v>
      </c>
      <c r="B205" s="196" t="s">
        <v>469</v>
      </c>
      <c r="C205" s="196" t="s">
        <v>463</v>
      </c>
      <c r="D205" s="196" t="s">
        <v>339</v>
      </c>
      <c r="E205" s="197">
        <v>42649</v>
      </c>
      <c r="F205" s="196">
        <v>14378</v>
      </c>
      <c r="G205" s="211"/>
      <c r="H205" s="211"/>
      <c r="I205" s="211"/>
      <c r="J205" s="211"/>
      <c r="K205" s="211"/>
    </row>
    <row r="206" spans="1:11" ht="23.25">
      <c r="A206" s="196">
        <v>203</v>
      </c>
      <c r="B206" s="196" t="s">
        <v>471</v>
      </c>
      <c r="C206" s="196" t="s">
        <v>468</v>
      </c>
      <c r="D206" s="196" t="s">
        <v>344</v>
      </c>
      <c r="E206" s="197">
        <v>42301</v>
      </c>
      <c r="F206" s="196">
        <v>17436</v>
      </c>
      <c r="G206" s="211"/>
      <c r="H206" s="211"/>
      <c r="I206" s="211"/>
      <c r="J206" s="211"/>
      <c r="K206" s="211"/>
    </row>
    <row r="207" spans="1:11" ht="23.25">
      <c r="A207" s="196">
        <v>204</v>
      </c>
      <c r="B207" s="196" t="s">
        <v>469</v>
      </c>
      <c r="C207" s="196" t="s">
        <v>465</v>
      </c>
      <c r="D207" s="196" t="s">
        <v>479</v>
      </c>
      <c r="E207" s="197">
        <v>42761</v>
      </c>
      <c r="F207" s="196">
        <v>7738</v>
      </c>
      <c r="G207" s="211"/>
      <c r="H207" s="211"/>
      <c r="I207" s="211"/>
      <c r="J207" s="211"/>
      <c r="K207" s="211"/>
    </row>
    <row r="208" spans="1:11" ht="23.25">
      <c r="A208" s="196">
        <v>205</v>
      </c>
      <c r="B208" s="196" t="s">
        <v>473</v>
      </c>
      <c r="C208" s="196" t="s">
        <v>463</v>
      </c>
      <c r="D208" s="196" t="s">
        <v>339</v>
      </c>
      <c r="E208" s="197">
        <v>42077</v>
      </c>
      <c r="F208" s="196">
        <v>167</v>
      </c>
      <c r="G208" s="211"/>
      <c r="H208" s="211"/>
      <c r="I208" s="211"/>
      <c r="J208" s="211"/>
      <c r="K208" s="211"/>
    </row>
    <row r="209" spans="1:11" ht="23.25">
      <c r="A209" s="196">
        <v>206</v>
      </c>
      <c r="B209" s="196" t="s">
        <v>464</v>
      </c>
      <c r="C209" s="196" t="s">
        <v>468</v>
      </c>
      <c r="D209" s="196" t="s">
        <v>479</v>
      </c>
      <c r="E209" s="197">
        <v>42017</v>
      </c>
      <c r="F209" s="196">
        <v>28716</v>
      </c>
      <c r="G209" s="211"/>
      <c r="H209" s="211"/>
      <c r="I209" s="211"/>
      <c r="J209" s="211"/>
      <c r="K209" s="211"/>
    </row>
    <row r="210" spans="1:11" ht="23.25">
      <c r="A210" s="196">
        <v>207</v>
      </c>
      <c r="B210" s="196" t="s">
        <v>467</v>
      </c>
      <c r="C210" s="196" t="s">
        <v>463</v>
      </c>
      <c r="D210" s="196" t="s">
        <v>472</v>
      </c>
      <c r="E210" s="197">
        <v>42024</v>
      </c>
      <c r="F210" s="196">
        <v>10465</v>
      </c>
      <c r="G210" s="211"/>
      <c r="H210" s="211"/>
      <c r="I210" s="211"/>
      <c r="J210" s="211"/>
      <c r="K210" s="211"/>
    </row>
    <row r="211" spans="1:11" ht="23.25">
      <c r="A211" s="196">
        <v>208</v>
      </c>
      <c r="B211" s="196" t="s">
        <v>471</v>
      </c>
      <c r="C211" s="196" t="s">
        <v>463</v>
      </c>
      <c r="D211" s="196" t="s">
        <v>476</v>
      </c>
      <c r="E211" s="197">
        <v>42065</v>
      </c>
      <c r="F211" s="196">
        <v>19774</v>
      </c>
      <c r="G211" s="211"/>
      <c r="H211" s="211"/>
      <c r="I211" s="211"/>
      <c r="J211" s="211"/>
      <c r="K211" s="211"/>
    </row>
    <row r="212" spans="1:11" ht="23.25">
      <c r="A212" s="196">
        <v>209</v>
      </c>
      <c r="B212" s="196" t="s">
        <v>471</v>
      </c>
      <c r="C212" s="196" t="s">
        <v>465</v>
      </c>
      <c r="D212" s="196" t="s">
        <v>477</v>
      </c>
      <c r="E212" s="197">
        <v>42048</v>
      </c>
      <c r="F212" s="196">
        <v>1701</v>
      </c>
      <c r="G212" s="211"/>
      <c r="H212" s="211"/>
      <c r="I212" s="211"/>
      <c r="J212" s="211"/>
      <c r="K212" s="211"/>
    </row>
    <row r="213" spans="1:11" ht="23.25">
      <c r="A213" s="196">
        <v>210</v>
      </c>
      <c r="B213" s="196" t="s">
        <v>467</v>
      </c>
      <c r="C213" s="196" t="s">
        <v>470</v>
      </c>
      <c r="D213" s="196" t="s">
        <v>350</v>
      </c>
      <c r="E213" s="197">
        <v>42829</v>
      </c>
      <c r="F213" s="196">
        <v>11553</v>
      </c>
      <c r="G213" s="211"/>
      <c r="H213" s="211"/>
      <c r="I213" s="211"/>
      <c r="J213" s="211"/>
      <c r="K213" s="211"/>
    </row>
    <row r="214" spans="1:11" ht="23.25">
      <c r="A214" s="196">
        <v>211</v>
      </c>
      <c r="B214" s="196" t="s">
        <v>467</v>
      </c>
      <c r="C214" s="196" t="s">
        <v>463</v>
      </c>
      <c r="D214" s="196" t="s">
        <v>348</v>
      </c>
      <c r="E214" s="197">
        <v>41972</v>
      </c>
      <c r="F214" s="196">
        <v>11343</v>
      </c>
      <c r="G214" s="211"/>
      <c r="H214" s="211"/>
      <c r="I214" s="211"/>
      <c r="J214" s="211"/>
      <c r="K214" s="211"/>
    </row>
    <row r="215" spans="1:11" ht="23.25">
      <c r="A215" s="196">
        <v>212</v>
      </c>
      <c r="B215" s="196" t="s">
        <v>469</v>
      </c>
      <c r="C215" s="196" t="s">
        <v>463</v>
      </c>
      <c r="D215" s="196" t="s">
        <v>475</v>
      </c>
      <c r="E215" s="197">
        <v>42831</v>
      </c>
      <c r="F215" s="196">
        <v>14323</v>
      </c>
      <c r="G215" s="211"/>
      <c r="H215" s="211"/>
      <c r="I215" s="211"/>
      <c r="J215" s="211"/>
      <c r="K215" s="211"/>
    </row>
    <row r="216" spans="1:11" ht="23.25">
      <c r="A216" s="196">
        <v>213</v>
      </c>
      <c r="B216" s="196" t="s">
        <v>473</v>
      </c>
      <c r="C216" s="196" t="s">
        <v>468</v>
      </c>
      <c r="D216" s="196" t="s">
        <v>477</v>
      </c>
      <c r="E216" s="197">
        <v>42510</v>
      </c>
      <c r="F216" s="196">
        <v>4299</v>
      </c>
      <c r="G216" s="211"/>
      <c r="H216" s="211"/>
      <c r="I216" s="211"/>
      <c r="J216" s="211"/>
      <c r="K216" s="211"/>
    </row>
    <row r="217" spans="1:11" ht="23.25">
      <c r="A217" s="196">
        <v>214</v>
      </c>
      <c r="B217" s="196" t="s">
        <v>467</v>
      </c>
      <c r="C217" s="196" t="s">
        <v>463</v>
      </c>
      <c r="D217" s="196" t="s">
        <v>466</v>
      </c>
      <c r="E217" s="197">
        <v>42571</v>
      </c>
      <c r="F217" s="196">
        <v>6950</v>
      </c>
      <c r="G217" s="211"/>
      <c r="H217" s="211"/>
      <c r="I217" s="211"/>
      <c r="J217" s="211"/>
      <c r="K217" s="211"/>
    </row>
    <row r="218" spans="1:11" ht="23.25">
      <c r="A218" s="196">
        <v>215</v>
      </c>
      <c r="B218" s="196" t="s">
        <v>471</v>
      </c>
      <c r="C218" s="196" t="s">
        <v>470</v>
      </c>
      <c r="D218" s="196" t="s">
        <v>346</v>
      </c>
      <c r="E218" s="197">
        <v>42605</v>
      </c>
      <c r="F218" s="196">
        <v>477</v>
      </c>
      <c r="G218" s="211"/>
      <c r="H218" s="211"/>
      <c r="I218" s="211"/>
      <c r="J218" s="211"/>
      <c r="K218" s="211"/>
    </row>
    <row r="219" spans="1:11" ht="23.25">
      <c r="A219" s="196">
        <v>216</v>
      </c>
      <c r="B219" s="196" t="s">
        <v>469</v>
      </c>
      <c r="C219" s="196" t="s">
        <v>465</v>
      </c>
      <c r="D219" s="196" t="s">
        <v>344</v>
      </c>
      <c r="E219" s="197">
        <v>42075</v>
      </c>
      <c r="F219" s="196">
        <v>16256</v>
      </c>
      <c r="G219" s="211"/>
      <c r="H219" s="211"/>
      <c r="I219" s="211"/>
      <c r="J219" s="211"/>
      <c r="K219" s="211"/>
    </row>
    <row r="220" spans="1:11" ht="23.25">
      <c r="A220" s="196">
        <v>217</v>
      </c>
      <c r="B220" s="196" t="s">
        <v>464</v>
      </c>
      <c r="C220" s="196" t="s">
        <v>468</v>
      </c>
      <c r="D220" s="196" t="s">
        <v>472</v>
      </c>
      <c r="E220" s="197">
        <v>42206</v>
      </c>
      <c r="F220" s="196">
        <v>3367</v>
      </c>
      <c r="G220" s="211"/>
      <c r="H220" s="211"/>
      <c r="I220" s="211"/>
      <c r="J220" s="211"/>
      <c r="K220" s="211"/>
    </row>
    <row r="221" spans="1:11" ht="23.25">
      <c r="A221" s="196">
        <v>218</v>
      </c>
      <c r="B221" s="196" t="s">
        <v>464</v>
      </c>
      <c r="C221" s="196" t="s">
        <v>468</v>
      </c>
      <c r="D221" s="196" t="s">
        <v>480</v>
      </c>
      <c r="E221" s="197">
        <v>42371</v>
      </c>
      <c r="F221" s="196">
        <v>19570</v>
      </c>
      <c r="G221" s="211"/>
      <c r="H221" s="211"/>
      <c r="I221" s="211"/>
      <c r="J221" s="211"/>
      <c r="K221" s="211"/>
    </row>
    <row r="222" spans="1:11" ht="23.25">
      <c r="A222" s="196">
        <v>219</v>
      </c>
      <c r="B222" s="196" t="s">
        <v>462</v>
      </c>
      <c r="C222" s="196" t="s">
        <v>470</v>
      </c>
      <c r="D222" s="196" t="s">
        <v>350</v>
      </c>
      <c r="E222" s="197">
        <v>42507</v>
      </c>
      <c r="F222" s="196">
        <v>5541</v>
      </c>
      <c r="G222" s="211"/>
      <c r="H222" s="211"/>
      <c r="I222" s="211"/>
      <c r="J222" s="211"/>
      <c r="K222" s="211"/>
    </row>
    <row r="223" spans="1:11" ht="23.25">
      <c r="A223" s="196">
        <v>220</v>
      </c>
      <c r="B223" s="196" t="s">
        <v>473</v>
      </c>
      <c r="C223" s="196" t="s">
        <v>468</v>
      </c>
      <c r="D223" s="196" t="s">
        <v>474</v>
      </c>
      <c r="E223" s="197">
        <v>41947</v>
      </c>
      <c r="F223" s="196">
        <v>16653</v>
      </c>
      <c r="G223" s="211"/>
      <c r="H223" s="211"/>
      <c r="I223" s="211"/>
      <c r="J223" s="211"/>
      <c r="K223" s="211"/>
    </row>
    <row r="224" spans="1:11" ht="23.25">
      <c r="A224" s="196">
        <v>221</v>
      </c>
      <c r="B224" s="196" t="s">
        <v>464</v>
      </c>
      <c r="C224" s="196" t="s">
        <v>470</v>
      </c>
      <c r="D224" s="196" t="s">
        <v>339</v>
      </c>
      <c r="E224" s="197">
        <v>42346</v>
      </c>
      <c r="F224" s="196">
        <v>13228</v>
      </c>
      <c r="G224" s="211"/>
      <c r="H224" s="211"/>
      <c r="I224" s="211"/>
      <c r="J224" s="211"/>
      <c r="K224" s="211"/>
    </row>
    <row r="225" spans="1:11" ht="23.25">
      <c r="A225" s="196">
        <v>222</v>
      </c>
      <c r="B225" s="196" t="s">
        <v>462</v>
      </c>
      <c r="C225" s="196" t="s">
        <v>465</v>
      </c>
      <c r="D225" s="196" t="s">
        <v>350</v>
      </c>
      <c r="E225" s="197">
        <v>42799</v>
      </c>
      <c r="F225" s="196">
        <v>2330</v>
      </c>
      <c r="G225" s="211"/>
      <c r="H225" s="211"/>
      <c r="I225" s="211"/>
      <c r="J225" s="211"/>
      <c r="K225" s="211"/>
    </row>
    <row r="226" spans="1:11" ht="23.25">
      <c r="A226" s="196">
        <v>223</v>
      </c>
      <c r="B226" s="196" t="s">
        <v>471</v>
      </c>
      <c r="C226" s="196" t="s">
        <v>468</v>
      </c>
      <c r="D226" s="196" t="s">
        <v>478</v>
      </c>
      <c r="E226" s="197">
        <v>41940</v>
      </c>
      <c r="F226" s="196">
        <v>3749</v>
      </c>
      <c r="G226" s="211"/>
      <c r="H226" s="211"/>
      <c r="I226" s="211"/>
      <c r="J226" s="211"/>
      <c r="K226" s="211"/>
    </row>
    <row r="227" spans="1:11" ht="23.25">
      <c r="A227" s="196">
        <v>224</v>
      </c>
      <c r="B227" s="196" t="s">
        <v>462</v>
      </c>
      <c r="C227" s="196" t="s">
        <v>468</v>
      </c>
      <c r="D227" s="196" t="s">
        <v>344</v>
      </c>
      <c r="E227" s="197">
        <v>42192</v>
      </c>
      <c r="F227" s="196">
        <v>22266</v>
      </c>
      <c r="G227" s="211"/>
      <c r="H227" s="211"/>
      <c r="I227" s="211"/>
      <c r="J227" s="211"/>
      <c r="K227" s="211"/>
    </row>
    <row r="228" spans="1:11" ht="23.25">
      <c r="A228" s="196">
        <v>225</v>
      </c>
      <c r="B228" s="196" t="s">
        <v>471</v>
      </c>
      <c r="C228" s="196" t="s">
        <v>470</v>
      </c>
      <c r="D228" s="196" t="s">
        <v>474</v>
      </c>
      <c r="E228" s="197">
        <v>42179</v>
      </c>
      <c r="F228" s="196">
        <v>4408</v>
      </c>
      <c r="G228" s="211"/>
      <c r="H228" s="211"/>
      <c r="I228" s="211"/>
      <c r="J228" s="211"/>
      <c r="K228" s="211"/>
    </row>
    <row r="229" spans="1:11" ht="23.25">
      <c r="A229" s="196">
        <v>226</v>
      </c>
      <c r="B229" s="196" t="s">
        <v>467</v>
      </c>
      <c r="C229" s="196" t="s">
        <v>470</v>
      </c>
      <c r="D229" s="196" t="s">
        <v>478</v>
      </c>
      <c r="E229" s="197">
        <v>42218</v>
      </c>
      <c r="F229" s="196">
        <v>5724</v>
      </c>
      <c r="G229" s="211"/>
      <c r="H229" s="211"/>
      <c r="I229" s="211"/>
      <c r="J229" s="211"/>
      <c r="K229" s="211"/>
    </row>
    <row r="230" spans="1:11" ht="23.25">
      <c r="A230" s="196">
        <v>227</v>
      </c>
      <c r="B230" s="196" t="s">
        <v>469</v>
      </c>
      <c r="C230" s="196" t="s">
        <v>465</v>
      </c>
      <c r="D230" s="196" t="s">
        <v>475</v>
      </c>
      <c r="E230" s="197">
        <v>42512</v>
      </c>
      <c r="F230" s="196">
        <v>19735</v>
      </c>
      <c r="G230" s="211"/>
      <c r="H230" s="211"/>
      <c r="I230" s="211"/>
      <c r="J230" s="211"/>
      <c r="K230" s="211"/>
    </row>
    <row r="231" spans="1:11" ht="23.25">
      <c r="A231" s="196">
        <v>228</v>
      </c>
      <c r="B231" s="196" t="s">
        <v>469</v>
      </c>
      <c r="C231" s="196" t="s">
        <v>468</v>
      </c>
      <c r="D231" s="196" t="s">
        <v>479</v>
      </c>
      <c r="E231" s="197">
        <v>42351</v>
      </c>
      <c r="F231" s="196">
        <v>13534</v>
      </c>
      <c r="G231" s="211"/>
      <c r="H231" s="211"/>
      <c r="I231" s="211"/>
      <c r="J231" s="211"/>
      <c r="K231" s="211"/>
    </row>
    <row r="232" spans="1:11" ht="23.25">
      <c r="A232" s="196">
        <v>229</v>
      </c>
      <c r="B232" s="196" t="s">
        <v>462</v>
      </c>
      <c r="C232" s="196" t="s">
        <v>470</v>
      </c>
      <c r="D232" s="196" t="s">
        <v>348</v>
      </c>
      <c r="E232" s="197">
        <v>42364</v>
      </c>
      <c r="F232" s="196">
        <v>483</v>
      </c>
      <c r="G232" s="211"/>
      <c r="H232" s="211"/>
      <c r="I232" s="211"/>
      <c r="J232" s="211"/>
      <c r="K232" s="211"/>
    </row>
    <row r="233" spans="1:11" ht="23.25">
      <c r="A233" s="196">
        <v>230</v>
      </c>
      <c r="B233" s="196" t="s">
        <v>471</v>
      </c>
      <c r="C233" s="196" t="s">
        <v>470</v>
      </c>
      <c r="D233" s="196" t="s">
        <v>339</v>
      </c>
      <c r="E233" s="197">
        <v>42542</v>
      </c>
      <c r="F233" s="196">
        <v>1069</v>
      </c>
      <c r="G233" s="211"/>
      <c r="H233" s="211"/>
      <c r="I233" s="211"/>
      <c r="J233" s="211"/>
      <c r="K233" s="211"/>
    </row>
    <row r="234" spans="1:11" ht="23.25">
      <c r="A234" s="196">
        <v>231</v>
      </c>
      <c r="B234" s="196" t="s">
        <v>464</v>
      </c>
      <c r="C234" s="196" t="s">
        <v>463</v>
      </c>
      <c r="D234" s="196" t="s">
        <v>346</v>
      </c>
      <c r="E234" s="197">
        <v>42656</v>
      </c>
      <c r="F234" s="196">
        <v>22508</v>
      </c>
      <c r="G234" s="211"/>
      <c r="H234" s="211"/>
      <c r="I234" s="211"/>
      <c r="J234" s="211"/>
      <c r="K234" s="211"/>
    </row>
    <row r="235" spans="1:11" ht="23.25">
      <c r="A235" s="196">
        <v>232</v>
      </c>
      <c r="B235" s="196" t="s">
        <v>471</v>
      </c>
      <c r="C235" s="196" t="s">
        <v>465</v>
      </c>
      <c r="D235" s="196" t="s">
        <v>350</v>
      </c>
      <c r="E235" s="197">
        <v>42701</v>
      </c>
      <c r="F235" s="196">
        <v>2949</v>
      </c>
      <c r="G235" s="211"/>
      <c r="H235" s="211"/>
      <c r="I235" s="211"/>
      <c r="J235" s="211"/>
      <c r="K235" s="211"/>
    </row>
    <row r="236" spans="1:11" ht="23.25">
      <c r="A236" s="196">
        <v>233</v>
      </c>
      <c r="B236" s="196" t="s">
        <v>464</v>
      </c>
      <c r="C236" s="196" t="s">
        <v>465</v>
      </c>
      <c r="D236" s="196" t="s">
        <v>344</v>
      </c>
      <c r="E236" s="197">
        <v>42404</v>
      </c>
      <c r="F236" s="196">
        <v>8327</v>
      </c>
      <c r="G236" s="211"/>
      <c r="H236" s="211"/>
      <c r="I236" s="211"/>
      <c r="J236" s="211"/>
      <c r="K236" s="211"/>
    </row>
    <row r="237" spans="1:11" ht="23.25">
      <c r="A237" s="196">
        <v>234</v>
      </c>
      <c r="B237" s="196" t="s">
        <v>462</v>
      </c>
      <c r="C237" s="196" t="s">
        <v>463</v>
      </c>
      <c r="D237" s="196" t="s">
        <v>476</v>
      </c>
      <c r="E237" s="197">
        <v>42182</v>
      </c>
      <c r="F237" s="196">
        <v>764</v>
      </c>
      <c r="G237" s="211"/>
      <c r="H237" s="211"/>
      <c r="I237" s="211"/>
      <c r="J237" s="211"/>
      <c r="K237" s="211"/>
    </row>
    <row r="238" spans="1:11" ht="23.25">
      <c r="A238" s="196">
        <v>235</v>
      </c>
      <c r="B238" s="196" t="s">
        <v>469</v>
      </c>
      <c r="C238" s="196" t="s">
        <v>470</v>
      </c>
      <c r="D238" s="196" t="s">
        <v>348</v>
      </c>
      <c r="E238" s="197">
        <v>42247</v>
      </c>
      <c r="F238" s="196">
        <v>22234</v>
      </c>
      <c r="G238" s="211"/>
      <c r="H238" s="211"/>
      <c r="I238" s="211"/>
      <c r="J238" s="211"/>
      <c r="K238" s="211"/>
    </row>
    <row r="239" spans="1:11" ht="23.25">
      <c r="A239" s="196">
        <v>236</v>
      </c>
      <c r="B239" s="196" t="s">
        <v>471</v>
      </c>
      <c r="C239" s="196" t="s">
        <v>468</v>
      </c>
      <c r="D239" s="196" t="s">
        <v>480</v>
      </c>
      <c r="E239" s="197">
        <v>42129</v>
      </c>
      <c r="F239" s="196">
        <v>3982</v>
      </c>
      <c r="G239" s="211"/>
      <c r="H239" s="211"/>
      <c r="I239" s="211"/>
      <c r="J239" s="211"/>
      <c r="K239" s="211"/>
    </row>
    <row r="240" spans="1:11" ht="23.25">
      <c r="A240" s="196">
        <v>237</v>
      </c>
      <c r="B240" s="196" t="s">
        <v>464</v>
      </c>
      <c r="C240" s="196" t="s">
        <v>470</v>
      </c>
      <c r="D240" s="196" t="s">
        <v>480</v>
      </c>
      <c r="E240" s="197">
        <v>42646</v>
      </c>
      <c r="F240" s="196">
        <v>19161</v>
      </c>
      <c r="G240" s="211"/>
      <c r="H240" s="211"/>
      <c r="I240" s="211"/>
      <c r="J240" s="211"/>
      <c r="K240" s="211"/>
    </row>
    <row r="241" spans="1:11" ht="23.25">
      <c r="A241" s="196">
        <v>238</v>
      </c>
      <c r="B241" s="196" t="s">
        <v>469</v>
      </c>
      <c r="C241" s="196" t="s">
        <v>470</v>
      </c>
      <c r="D241" s="196" t="s">
        <v>480</v>
      </c>
      <c r="E241" s="197">
        <v>42243</v>
      </c>
      <c r="F241" s="196">
        <v>25618</v>
      </c>
      <c r="G241" s="211"/>
      <c r="H241" s="211"/>
      <c r="I241" s="211"/>
      <c r="J241" s="211"/>
      <c r="K241" s="211"/>
    </row>
    <row r="242" spans="1:11" ht="23.25">
      <c r="A242" s="196">
        <v>239</v>
      </c>
      <c r="B242" s="196" t="s">
        <v>469</v>
      </c>
      <c r="C242" s="196" t="s">
        <v>468</v>
      </c>
      <c r="D242" s="196" t="s">
        <v>480</v>
      </c>
      <c r="E242" s="197">
        <v>42719</v>
      </c>
      <c r="F242" s="196">
        <v>16357</v>
      </c>
      <c r="G242" s="211"/>
      <c r="H242" s="211"/>
      <c r="I242" s="211"/>
      <c r="J242" s="211"/>
      <c r="K242" s="211"/>
    </row>
    <row r="243" spans="1:11" ht="23.25">
      <c r="A243" s="196">
        <v>240</v>
      </c>
      <c r="B243" s="196" t="s">
        <v>462</v>
      </c>
      <c r="C243" s="196" t="s">
        <v>463</v>
      </c>
      <c r="D243" s="196" t="s">
        <v>475</v>
      </c>
      <c r="E243" s="197">
        <v>42751</v>
      </c>
      <c r="F243" s="196">
        <v>12870</v>
      </c>
      <c r="G243" s="211"/>
      <c r="H243" s="211"/>
      <c r="I243" s="211"/>
      <c r="J243" s="211"/>
      <c r="K243" s="211"/>
    </row>
    <row r="244" spans="1:11" ht="23.25">
      <c r="A244" s="196">
        <v>241</v>
      </c>
      <c r="B244" s="196" t="s">
        <v>467</v>
      </c>
      <c r="C244" s="196" t="s">
        <v>465</v>
      </c>
      <c r="D244" s="196" t="s">
        <v>350</v>
      </c>
      <c r="E244" s="197">
        <v>42702</v>
      </c>
      <c r="F244" s="196">
        <v>15290</v>
      </c>
      <c r="G244" s="211"/>
      <c r="H244" s="211"/>
      <c r="I244" s="211"/>
      <c r="J244" s="211"/>
      <c r="K244" s="211"/>
    </row>
    <row r="245" spans="1:11" ht="23.25">
      <c r="A245" s="196">
        <v>242</v>
      </c>
      <c r="B245" s="196" t="s">
        <v>469</v>
      </c>
      <c r="C245" s="196" t="s">
        <v>468</v>
      </c>
      <c r="D245" s="196" t="s">
        <v>480</v>
      </c>
      <c r="E245" s="197">
        <v>42105</v>
      </c>
      <c r="F245" s="196">
        <v>24544</v>
      </c>
      <c r="G245" s="211"/>
      <c r="H245" s="211"/>
      <c r="I245" s="211"/>
      <c r="J245" s="211"/>
      <c r="K245" s="211"/>
    </row>
    <row r="246" spans="1:11" ht="23.25">
      <c r="A246" s="196">
        <v>243</v>
      </c>
      <c r="B246" s="196" t="s">
        <v>464</v>
      </c>
      <c r="C246" s="196" t="s">
        <v>463</v>
      </c>
      <c r="D246" s="196" t="s">
        <v>339</v>
      </c>
      <c r="E246" s="197">
        <v>42141</v>
      </c>
      <c r="F246" s="196">
        <v>25167</v>
      </c>
      <c r="G246" s="211"/>
      <c r="H246" s="211"/>
      <c r="I246" s="211"/>
      <c r="J246" s="211"/>
      <c r="K246" s="211"/>
    </row>
    <row r="247" spans="1:11" ht="23.25">
      <c r="A247" s="196">
        <v>244</v>
      </c>
      <c r="B247" s="196" t="s">
        <v>462</v>
      </c>
      <c r="C247" s="196" t="s">
        <v>465</v>
      </c>
      <c r="D247" s="196" t="s">
        <v>466</v>
      </c>
      <c r="E247" s="197">
        <v>42337</v>
      </c>
      <c r="F247" s="196">
        <v>8087</v>
      </c>
      <c r="G247" s="211"/>
      <c r="H247" s="211"/>
      <c r="I247" s="211"/>
      <c r="J247" s="211"/>
      <c r="K247" s="211"/>
    </row>
    <row r="248" spans="1:11" ht="23.25">
      <c r="A248" s="196">
        <v>245</v>
      </c>
      <c r="B248" s="196" t="s">
        <v>473</v>
      </c>
      <c r="C248" s="196" t="s">
        <v>465</v>
      </c>
      <c r="D248" s="196" t="s">
        <v>475</v>
      </c>
      <c r="E248" s="197">
        <v>42091</v>
      </c>
      <c r="F248" s="196">
        <v>4958</v>
      </c>
      <c r="G248" s="211"/>
      <c r="H248" s="211"/>
      <c r="I248" s="211"/>
      <c r="J248" s="211"/>
      <c r="K248" s="211"/>
    </row>
    <row r="249" spans="1:11" ht="23.25">
      <c r="A249" s="196">
        <v>246</v>
      </c>
      <c r="B249" s="196" t="s">
        <v>467</v>
      </c>
      <c r="C249" s="196" t="s">
        <v>463</v>
      </c>
      <c r="D249" s="196" t="s">
        <v>475</v>
      </c>
      <c r="E249" s="197">
        <v>42202</v>
      </c>
      <c r="F249" s="196">
        <v>21435</v>
      </c>
      <c r="G249" s="211"/>
      <c r="H249" s="211"/>
      <c r="I249" s="211"/>
      <c r="J249" s="211"/>
      <c r="K249" s="211"/>
    </row>
    <row r="250" spans="1:11" ht="23.25">
      <c r="A250" s="196">
        <v>247</v>
      </c>
      <c r="B250" s="196" t="s">
        <v>462</v>
      </c>
      <c r="C250" s="196" t="s">
        <v>463</v>
      </c>
      <c r="D250" s="196" t="s">
        <v>474</v>
      </c>
      <c r="E250" s="197">
        <v>42059</v>
      </c>
      <c r="F250" s="196">
        <v>14050</v>
      </c>
      <c r="G250" s="211"/>
      <c r="H250" s="211"/>
      <c r="I250" s="211"/>
      <c r="J250" s="211"/>
      <c r="K250" s="211"/>
    </row>
    <row r="251" spans="1:11" ht="23.25">
      <c r="A251" s="196">
        <v>248</v>
      </c>
      <c r="B251" s="196" t="s">
        <v>464</v>
      </c>
      <c r="C251" s="196" t="s">
        <v>468</v>
      </c>
      <c r="D251" s="196" t="s">
        <v>474</v>
      </c>
      <c r="E251" s="197">
        <v>41969</v>
      </c>
      <c r="F251" s="196">
        <v>7083</v>
      </c>
      <c r="G251" s="211"/>
      <c r="H251" s="211"/>
      <c r="I251" s="211"/>
      <c r="J251" s="211"/>
      <c r="K251" s="211"/>
    </row>
    <row r="252" spans="1:11" ht="23.25">
      <c r="A252" s="196">
        <v>249</v>
      </c>
      <c r="B252" s="196" t="s">
        <v>471</v>
      </c>
      <c r="C252" s="196" t="s">
        <v>468</v>
      </c>
      <c r="D252" s="196" t="s">
        <v>477</v>
      </c>
      <c r="E252" s="197">
        <v>42431</v>
      </c>
      <c r="F252" s="196">
        <v>4299</v>
      </c>
      <c r="G252" s="211"/>
      <c r="H252" s="211"/>
      <c r="I252" s="211"/>
      <c r="J252" s="211"/>
      <c r="K252" s="211"/>
    </row>
    <row r="253" spans="1:11" ht="23.25">
      <c r="A253" s="196">
        <v>250</v>
      </c>
      <c r="B253" s="196" t="s">
        <v>467</v>
      </c>
      <c r="C253" s="196" t="s">
        <v>470</v>
      </c>
      <c r="D253" s="196" t="s">
        <v>480</v>
      </c>
      <c r="E253" s="197">
        <v>42779</v>
      </c>
      <c r="F253" s="196">
        <v>10402</v>
      </c>
      <c r="G253" s="211"/>
      <c r="H253" s="211"/>
      <c r="I253" s="211"/>
      <c r="J253" s="211"/>
      <c r="K253" s="211"/>
    </row>
    <row r="254" spans="1:11" ht="23.25">
      <c r="A254" s="196">
        <v>251</v>
      </c>
      <c r="B254" s="196" t="s">
        <v>467</v>
      </c>
      <c r="C254" s="196" t="s">
        <v>463</v>
      </c>
      <c r="D254" s="196" t="s">
        <v>474</v>
      </c>
      <c r="E254" s="197">
        <v>42649</v>
      </c>
      <c r="F254" s="196">
        <v>7696</v>
      </c>
      <c r="G254" s="211"/>
      <c r="H254" s="211"/>
      <c r="I254" s="211"/>
      <c r="J254" s="211"/>
      <c r="K254" s="211"/>
    </row>
    <row r="255" spans="1:11" ht="23.25">
      <c r="A255" s="196">
        <v>252</v>
      </c>
      <c r="B255" s="196" t="s">
        <v>473</v>
      </c>
      <c r="C255" s="196" t="s">
        <v>465</v>
      </c>
      <c r="D255" s="196" t="s">
        <v>474</v>
      </c>
      <c r="E255" s="197">
        <v>42837</v>
      </c>
      <c r="F255" s="196">
        <v>8513</v>
      </c>
      <c r="G255" s="211"/>
      <c r="H255" s="211"/>
      <c r="I255" s="211"/>
      <c r="J255" s="211"/>
      <c r="K255" s="211"/>
    </row>
    <row r="256" spans="1:11" ht="23.25">
      <c r="A256" s="196">
        <v>253</v>
      </c>
      <c r="B256" s="196" t="s">
        <v>473</v>
      </c>
      <c r="C256" s="196" t="s">
        <v>465</v>
      </c>
      <c r="D256" s="196" t="s">
        <v>478</v>
      </c>
      <c r="E256" s="197">
        <v>42443</v>
      </c>
      <c r="F256" s="196">
        <v>17046</v>
      </c>
      <c r="G256" s="211"/>
      <c r="H256" s="211"/>
      <c r="I256" s="211"/>
      <c r="J256" s="211"/>
      <c r="K256" s="211"/>
    </row>
    <row r="257" spans="1:11" ht="23.25">
      <c r="A257" s="196">
        <v>254</v>
      </c>
      <c r="B257" s="196" t="s">
        <v>462</v>
      </c>
      <c r="C257" s="196" t="s">
        <v>465</v>
      </c>
      <c r="D257" s="196" t="s">
        <v>344</v>
      </c>
      <c r="E257" s="197">
        <v>42210</v>
      </c>
      <c r="F257" s="196">
        <v>21205</v>
      </c>
      <c r="G257" s="211"/>
      <c r="H257" s="211"/>
      <c r="I257" s="211"/>
      <c r="J257" s="211"/>
      <c r="K257" s="211"/>
    </row>
    <row r="258" spans="1:11" ht="23.25">
      <c r="A258" s="196">
        <v>255</v>
      </c>
      <c r="B258" s="196" t="s">
        <v>464</v>
      </c>
      <c r="C258" s="196" t="s">
        <v>470</v>
      </c>
      <c r="D258" s="196" t="s">
        <v>348</v>
      </c>
      <c r="E258" s="197">
        <v>42110</v>
      </c>
      <c r="F258" s="196">
        <v>9278</v>
      </c>
      <c r="G258" s="211"/>
      <c r="H258" s="211"/>
      <c r="I258" s="211"/>
      <c r="J258" s="211"/>
      <c r="K258" s="211"/>
    </row>
    <row r="259" spans="1:11" ht="23.25">
      <c r="A259" s="196">
        <v>256</v>
      </c>
      <c r="B259" s="196" t="s">
        <v>467</v>
      </c>
      <c r="C259" s="196" t="s">
        <v>468</v>
      </c>
      <c r="D259" s="196" t="s">
        <v>346</v>
      </c>
      <c r="E259" s="197">
        <v>42618</v>
      </c>
      <c r="F259" s="196">
        <v>11317</v>
      </c>
      <c r="G259" s="211"/>
      <c r="H259" s="211"/>
      <c r="I259" s="211"/>
      <c r="J259" s="211"/>
      <c r="K259" s="211"/>
    </row>
    <row r="260" spans="1:11" ht="23.25">
      <c r="A260" s="196">
        <v>257</v>
      </c>
      <c r="B260" s="196" t="s">
        <v>469</v>
      </c>
      <c r="C260" s="196" t="s">
        <v>470</v>
      </c>
      <c r="D260" s="196" t="s">
        <v>339</v>
      </c>
      <c r="E260" s="197">
        <v>42758</v>
      </c>
      <c r="F260" s="196">
        <v>16301</v>
      </c>
      <c r="G260" s="211"/>
      <c r="H260" s="211"/>
      <c r="I260" s="211"/>
      <c r="J260" s="211"/>
      <c r="K260" s="211"/>
    </row>
    <row r="261" spans="1:11" ht="23.25">
      <c r="A261" s="196">
        <v>258</v>
      </c>
      <c r="B261" s="196" t="s">
        <v>467</v>
      </c>
      <c r="C261" s="196" t="s">
        <v>463</v>
      </c>
      <c r="D261" s="196" t="s">
        <v>346</v>
      </c>
      <c r="E261" s="197">
        <v>42482</v>
      </c>
      <c r="F261" s="196">
        <v>2673</v>
      </c>
      <c r="G261" s="211"/>
      <c r="H261" s="211"/>
      <c r="I261" s="211"/>
      <c r="J261" s="211"/>
      <c r="K261" s="211"/>
    </row>
    <row r="262" spans="1:11" ht="23.25">
      <c r="A262" s="196">
        <v>259</v>
      </c>
      <c r="B262" s="196" t="s">
        <v>462</v>
      </c>
      <c r="C262" s="196" t="s">
        <v>465</v>
      </c>
      <c r="D262" s="196" t="s">
        <v>478</v>
      </c>
      <c r="E262" s="197">
        <v>42359</v>
      </c>
      <c r="F262" s="196">
        <v>15505</v>
      </c>
      <c r="G262" s="211"/>
      <c r="H262" s="211"/>
      <c r="I262" s="211"/>
      <c r="J262" s="211"/>
      <c r="K262" s="211"/>
    </row>
    <row r="263" spans="1:11" ht="23.25">
      <c r="A263" s="196">
        <v>260</v>
      </c>
      <c r="B263" s="196" t="s">
        <v>462</v>
      </c>
      <c r="C263" s="196" t="s">
        <v>465</v>
      </c>
      <c r="D263" s="196" t="s">
        <v>475</v>
      </c>
      <c r="E263" s="197">
        <v>42849</v>
      </c>
      <c r="F263" s="196">
        <v>16881</v>
      </c>
      <c r="G263" s="211"/>
      <c r="H263" s="211"/>
      <c r="I263" s="211"/>
      <c r="J263" s="211"/>
      <c r="K263" s="211"/>
    </row>
    <row r="264" spans="1:11" ht="23.25">
      <c r="A264" s="196">
        <v>261</v>
      </c>
      <c r="B264" s="196" t="s">
        <v>462</v>
      </c>
      <c r="C264" s="196" t="s">
        <v>470</v>
      </c>
      <c r="D264" s="196" t="s">
        <v>348</v>
      </c>
      <c r="E264" s="197">
        <v>42199</v>
      </c>
      <c r="F264" s="196">
        <v>24865</v>
      </c>
      <c r="G264" s="211"/>
      <c r="H264" s="211"/>
      <c r="I264" s="211"/>
      <c r="J264" s="211"/>
      <c r="K264" s="211"/>
    </row>
    <row r="265" spans="1:11" ht="23.25">
      <c r="A265" s="196">
        <v>262</v>
      </c>
      <c r="B265" s="196" t="s">
        <v>469</v>
      </c>
      <c r="C265" s="196" t="s">
        <v>465</v>
      </c>
      <c r="D265" s="196" t="s">
        <v>348</v>
      </c>
      <c r="E265" s="197">
        <v>42095</v>
      </c>
      <c r="F265" s="196">
        <v>10275</v>
      </c>
      <c r="G265" s="211"/>
      <c r="H265" s="211"/>
      <c r="I265" s="211"/>
      <c r="J265" s="211"/>
      <c r="K265" s="211"/>
    </row>
    <row r="266" spans="1:11" ht="23.25">
      <c r="A266" s="196">
        <v>263</v>
      </c>
      <c r="B266" s="196" t="s">
        <v>469</v>
      </c>
      <c r="C266" s="196" t="s">
        <v>470</v>
      </c>
      <c r="D266" s="196" t="s">
        <v>344</v>
      </c>
      <c r="E266" s="197">
        <v>42804</v>
      </c>
      <c r="F266" s="196">
        <v>27039</v>
      </c>
      <c r="G266" s="211"/>
      <c r="H266" s="211"/>
      <c r="I266" s="211"/>
      <c r="J266" s="211"/>
      <c r="K266" s="211"/>
    </row>
    <row r="267" spans="1:11" ht="23.25">
      <c r="A267" s="196">
        <v>264</v>
      </c>
      <c r="B267" s="196" t="s">
        <v>462</v>
      </c>
      <c r="C267" s="196" t="s">
        <v>463</v>
      </c>
      <c r="D267" s="196" t="s">
        <v>348</v>
      </c>
      <c r="E267" s="197">
        <v>42710</v>
      </c>
      <c r="F267" s="196">
        <v>23980</v>
      </c>
      <c r="G267" s="211"/>
      <c r="H267" s="211"/>
      <c r="I267" s="211"/>
      <c r="J267" s="211"/>
      <c r="K267" s="211"/>
    </row>
    <row r="268" spans="1:11" ht="23.25">
      <c r="A268" s="196">
        <v>265</v>
      </c>
      <c r="B268" s="196" t="s">
        <v>464</v>
      </c>
      <c r="C268" s="196" t="s">
        <v>470</v>
      </c>
      <c r="D268" s="196" t="s">
        <v>474</v>
      </c>
      <c r="E268" s="197">
        <v>42616</v>
      </c>
      <c r="F268" s="196">
        <v>25536</v>
      </c>
      <c r="G268" s="211"/>
      <c r="H268" s="211"/>
      <c r="I268" s="211"/>
      <c r="J268" s="211"/>
      <c r="K268" s="211"/>
    </row>
    <row r="269" spans="1:11" ht="23.25">
      <c r="A269" s="196">
        <v>266</v>
      </c>
      <c r="B269" s="196" t="s">
        <v>462</v>
      </c>
      <c r="C269" s="196" t="s">
        <v>463</v>
      </c>
      <c r="D269" s="196" t="s">
        <v>346</v>
      </c>
      <c r="E269" s="197">
        <v>42162</v>
      </c>
      <c r="F269" s="196">
        <v>11774</v>
      </c>
      <c r="G269" s="211"/>
      <c r="H269" s="211"/>
      <c r="I269" s="211"/>
      <c r="J269" s="211"/>
      <c r="K269" s="211"/>
    </row>
    <row r="270" spans="1:11" ht="23.25">
      <c r="A270" s="196">
        <v>267</v>
      </c>
      <c r="B270" s="196" t="s">
        <v>473</v>
      </c>
      <c r="C270" s="196" t="s">
        <v>470</v>
      </c>
      <c r="D270" s="196" t="s">
        <v>344</v>
      </c>
      <c r="E270" s="197">
        <v>42340</v>
      </c>
      <c r="F270" s="196">
        <v>1481</v>
      </c>
      <c r="G270" s="211"/>
      <c r="H270" s="211"/>
      <c r="I270" s="211"/>
      <c r="J270" s="211"/>
      <c r="K270" s="211"/>
    </row>
    <row r="271" spans="1:11" ht="23.25">
      <c r="A271" s="196">
        <v>268</v>
      </c>
      <c r="B271" s="196" t="s">
        <v>469</v>
      </c>
      <c r="C271" s="196" t="s">
        <v>470</v>
      </c>
      <c r="D271" s="196" t="s">
        <v>339</v>
      </c>
      <c r="E271" s="197">
        <v>42217</v>
      </c>
      <c r="F271" s="196">
        <v>19932</v>
      </c>
      <c r="G271" s="211"/>
      <c r="H271" s="211"/>
      <c r="I271" s="211"/>
      <c r="J271" s="211"/>
      <c r="K271" s="211"/>
    </row>
    <row r="272" spans="1:11" ht="23.25">
      <c r="A272" s="196">
        <v>269</v>
      </c>
      <c r="B272" s="196" t="s">
        <v>462</v>
      </c>
      <c r="C272" s="196" t="s">
        <v>465</v>
      </c>
      <c r="D272" s="196" t="s">
        <v>474</v>
      </c>
      <c r="E272" s="197">
        <v>42805</v>
      </c>
      <c r="F272" s="196">
        <v>18008</v>
      </c>
      <c r="G272" s="211"/>
      <c r="H272" s="211"/>
      <c r="I272" s="211"/>
      <c r="J272" s="211"/>
      <c r="K272" s="211"/>
    </row>
    <row r="273" spans="1:11" ht="23.25">
      <c r="A273" s="196">
        <v>270</v>
      </c>
      <c r="B273" s="196" t="s">
        <v>469</v>
      </c>
      <c r="C273" s="196" t="s">
        <v>465</v>
      </c>
      <c r="D273" s="196" t="s">
        <v>350</v>
      </c>
      <c r="E273" s="197">
        <v>42229</v>
      </c>
      <c r="F273" s="196">
        <v>20789</v>
      </c>
      <c r="G273" s="211"/>
      <c r="H273" s="211"/>
      <c r="I273" s="211"/>
      <c r="J273" s="211"/>
      <c r="K273" s="211"/>
    </row>
    <row r="274" spans="1:11" ht="23.25">
      <c r="A274" s="196">
        <v>271</v>
      </c>
      <c r="B274" s="196" t="s">
        <v>471</v>
      </c>
      <c r="C274" s="196" t="s">
        <v>465</v>
      </c>
      <c r="D274" s="196" t="s">
        <v>344</v>
      </c>
      <c r="E274" s="197">
        <v>42332</v>
      </c>
      <c r="F274" s="196">
        <v>18473</v>
      </c>
      <c r="G274" s="211"/>
      <c r="H274" s="211"/>
      <c r="I274" s="211"/>
      <c r="J274" s="211"/>
      <c r="K274" s="211"/>
    </row>
    <row r="275" spans="1:11" ht="23.25">
      <c r="A275" s="196">
        <v>272</v>
      </c>
      <c r="B275" s="196" t="s">
        <v>464</v>
      </c>
      <c r="C275" s="196" t="s">
        <v>470</v>
      </c>
      <c r="D275" s="196" t="s">
        <v>350</v>
      </c>
      <c r="E275" s="197">
        <v>42671</v>
      </c>
      <c r="F275" s="196">
        <v>6942</v>
      </c>
      <c r="G275" s="211"/>
      <c r="H275" s="211"/>
      <c r="I275" s="211"/>
      <c r="J275" s="211"/>
      <c r="K275" s="211"/>
    </row>
    <row r="276" spans="1:11" ht="23.25">
      <c r="A276" s="196">
        <v>273</v>
      </c>
      <c r="B276" s="196" t="s">
        <v>473</v>
      </c>
      <c r="C276" s="196" t="s">
        <v>465</v>
      </c>
      <c r="D276" s="196" t="s">
        <v>475</v>
      </c>
      <c r="E276" s="197">
        <v>42661</v>
      </c>
      <c r="F276" s="196">
        <v>11884</v>
      </c>
      <c r="G276" s="211"/>
      <c r="H276" s="211"/>
      <c r="I276" s="211"/>
      <c r="J276" s="211"/>
      <c r="K276" s="211"/>
    </row>
    <row r="277" spans="1:11" ht="23.25">
      <c r="A277" s="196">
        <v>274</v>
      </c>
      <c r="B277" s="196" t="s">
        <v>469</v>
      </c>
      <c r="C277" s="196" t="s">
        <v>468</v>
      </c>
      <c r="D277" s="196" t="s">
        <v>472</v>
      </c>
      <c r="E277" s="197">
        <v>42291</v>
      </c>
      <c r="F277" s="196">
        <v>12166</v>
      </c>
      <c r="G277" s="211"/>
      <c r="H277" s="211"/>
      <c r="I277" s="211"/>
      <c r="J277" s="211"/>
      <c r="K277" s="211"/>
    </row>
    <row r="278" spans="1:11" ht="23.25">
      <c r="A278" s="196">
        <v>275</v>
      </c>
      <c r="B278" s="196" t="s">
        <v>462</v>
      </c>
      <c r="C278" s="196" t="s">
        <v>463</v>
      </c>
      <c r="D278" s="196" t="s">
        <v>472</v>
      </c>
      <c r="E278" s="197">
        <v>42728</v>
      </c>
      <c r="F278" s="196">
        <v>20811</v>
      </c>
      <c r="G278" s="211"/>
      <c r="H278" s="211"/>
      <c r="I278" s="211"/>
      <c r="J278" s="211"/>
      <c r="K278" s="211"/>
    </row>
    <row r="279" spans="1:11" ht="23.25">
      <c r="A279" s="196">
        <v>276</v>
      </c>
      <c r="B279" s="196" t="s">
        <v>469</v>
      </c>
      <c r="C279" s="196" t="s">
        <v>465</v>
      </c>
      <c r="D279" s="196" t="s">
        <v>466</v>
      </c>
      <c r="E279" s="197">
        <v>42131</v>
      </c>
      <c r="F279" s="196">
        <v>10548</v>
      </c>
      <c r="G279" s="211"/>
      <c r="H279" s="211"/>
      <c r="I279" s="211"/>
      <c r="J279" s="211"/>
      <c r="K279" s="211"/>
    </row>
    <row r="280" spans="1:11" ht="23.25">
      <c r="A280" s="196">
        <v>277</v>
      </c>
      <c r="B280" s="196" t="s">
        <v>467</v>
      </c>
      <c r="C280" s="196" t="s">
        <v>468</v>
      </c>
      <c r="D280" s="196" t="s">
        <v>480</v>
      </c>
      <c r="E280" s="197">
        <v>41963</v>
      </c>
      <c r="F280" s="196">
        <v>20571</v>
      </c>
      <c r="G280" s="211"/>
      <c r="H280" s="211"/>
      <c r="I280" s="211"/>
      <c r="J280" s="211"/>
      <c r="K280" s="211"/>
    </row>
    <row r="281" spans="1:11" ht="23.25">
      <c r="A281" s="196">
        <v>278</v>
      </c>
      <c r="B281" s="196" t="s">
        <v>462</v>
      </c>
      <c r="C281" s="196" t="s">
        <v>470</v>
      </c>
      <c r="D281" s="196" t="s">
        <v>339</v>
      </c>
      <c r="E281" s="197">
        <v>41942</v>
      </c>
      <c r="F281" s="196">
        <v>24624</v>
      </c>
      <c r="G281" s="211"/>
      <c r="H281" s="211"/>
      <c r="I281" s="211"/>
      <c r="J281" s="211"/>
      <c r="K281" s="211"/>
    </row>
    <row r="282" spans="1:11" ht="23.25">
      <c r="A282" s="196">
        <v>279</v>
      </c>
      <c r="B282" s="196" t="s">
        <v>473</v>
      </c>
      <c r="C282" s="196" t="s">
        <v>470</v>
      </c>
      <c r="D282" s="196" t="s">
        <v>474</v>
      </c>
      <c r="E282" s="197">
        <v>42110</v>
      </c>
      <c r="F282" s="196">
        <v>4408</v>
      </c>
      <c r="G282" s="211"/>
      <c r="H282" s="211"/>
      <c r="I282" s="211"/>
      <c r="J282" s="211"/>
      <c r="K282" s="211"/>
    </row>
    <row r="283" spans="1:11" ht="23.25">
      <c r="A283" s="196">
        <v>280</v>
      </c>
      <c r="B283" s="196" t="s">
        <v>471</v>
      </c>
      <c r="C283" s="196" t="s">
        <v>465</v>
      </c>
      <c r="D283" s="196" t="s">
        <v>478</v>
      </c>
      <c r="E283" s="197">
        <v>42343</v>
      </c>
      <c r="F283" s="196">
        <v>17046</v>
      </c>
      <c r="G283" s="211"/>
      <c r="H283" s="211"/>
      <c r="I283" s="211"/>
      <c r="J283" s="211"/>
      <c r="K283" s="211"/>
    </row>
    <row r="284" spans="1:11" ht="23.25">
      <c r="A284" s="196">
        <v>281</v>
      </c>
      <c r="B284" s="196" t="s">
        <v>471</v>
      </c>
      <c r="C284" s="196" t="s">
        <v>470</v>
      </c>
      <c r="D284" s="196" t="s">
        <v>344</v>
      </c>
      <c r="E284" s="197">
        <v>42319</v>
      </c>
      <c r="F284" s="196">
        <v>1481</v>
      </c>
      <c r="G284" s="211"/>
      <c r="H284" s="211"/>
      <c r="I284" s="211"/>
      <c r="J284" s="211"/>
      <c r="K284" s="211"/>
    </row>
    <row r="285" spans="1:11" ht="23.25">
      <c r="A285" s="196">
        <v>282</v>
      </c>
      <c r="B285" s="196" t="s">
        <v>464</v>
      </c>
      <c r="C285" s="196" t="s">
        <v>463</v>
      </c>
      <c r="D285" s="196" t="s">
        <v>344</v>
      </c>
      <c r="E285" s="197">
        <v>42790</v>
      </c>
      <c r="F285" s="196">
        <v>1568</v>
      </c>
      <c r="G285" s="211"/>
      <c r="H285" s="211"/>
      <c r="I285" s="211"/>
      <c r="J285" s="211"/>
      <c r="K285" s="211"/>
    </row>
    <row r="286" spans="1:11" ht="23.25">
      <c r="A286" s="196">
        <v>283</v>
      </c>
      <c r="B286" s="196" t="s">
        <v>467</v>
      </c>
      <c r="C286" s="196" t="s">
        <v>468</v>
      </c>
      <c r="D286" s="196" t="s">
        <v>472</v>
      </c>
      <c r="E286" s="197">
        <v>42730</v>
      </c>
      <c r="F286" s="196">
        <v>2796</v>
      </c>
      <c r="G286" s="211"/>
      <c r="H286" s="211"/>
      <c r="I286" s="211"/>
      <c r="J286" s="211"/>
      <c r="K286" s="211"/>
    </row>
    <row r="287" spans="1:11" ht="23.25">
      <c r="A287" s="196">
        <v>284</v>
      </c>
      <c r="B287" s="196" t="s">
        <v>471</v>
      </c>
      <c r="C287" s="196" t="s">
        <v>468</v>
      </c>
      <c r="D287" s="196" t="s">
        <v>479</v>
      </c>
      <c r="E287" s="197">
        <v>42536</v>
      </c>
      <c r="F287" s="196">
        <v>5129</v>
      </c>
      <c r="G287" s="211"/>
      <c r="H287" s="211"/>
      <c r="I287" s="211"/>
      <c r="J287" s="211"/>
      <c r="K287" s="211"/>
    </row>
    <row r="288" spans="1:11" ht="23.25">
      <c r="A288" s="196">
        <v>285</v>
      </c>
      <c r="B288" s="196" t="s">
        <v>473</v>
      </c>
      <c r="C288" s="196" t="s">
        <v>463</v>
      </c>
      <c r="D288" s="196" t="s">
        <v>475</v>
      </c>
      <c r="E288" s="197">
        <v>42279</v>
      </c>
      <c r="F288" s="196">
        <v>5706</v>
      </c>
      <c r="G288" s="211"/>
      <c r="H288" s="211"/>
      <c r="I288" s="211"/>
      <c r="J288" s="211"/>
      <c r="K288" s="211"/>
    </row>
    <row r="289" spans="1:11" ht="23.25">
      <c r="A289" s="196">
        <v>286</v>
      </c>
      <c r="B289" s="196" t="s">
        <v>462</v>
      </c>
      <c r="C289" s="196" t="s">
        <v>463</v>
      </c>
      <c r="D289" s="196" t="s">
        <v>476</v>
      </c>
      <c r="E289" s="197">
        <v>42802</v>
      </c>
      <c r="F289" s="196">
        <v>2993</v>
      </c>
      <c r="G289" s="211"/>
      <c r="H289" s="211"/>
      <c r="I289" s="211"/>
      <c r="J289" s="211"/>
      <c r="K289" s="211"/>
    </row>
    <row r="290" spans="1:11" ht="23.25">
      <c r="A290" s="196">
        <v>287</v>
      </c>
      <c r="B290" s="196" t="s">
        <v>469</v>
      </c>
      <c r="C290" s="196" t="s">
        <v>463</v>
      </c>
      <c r="D290" s="196" t="s">
        <v>476</v>
      </c>
      <c r="E290" s="197">
        <v>42857</v>
      </c>
      <c r="F290" s="196">
        <v>2521</v>
      </c>
      <c r="G290" s="211"/>
      <c r="H290" s="211"/>
      <c r="I290" s="211"/>
      <c r="J290" s="211"/>
      <c r="K290" s="211"/>
    </row>
    <row r="291" spans="1:11" ht="23.25">
      <c r="A291" s="196">
        <v>288</v>
      </c>
      <c r="B291" s="196" t="s">
        <v>473</v>
      </c>
      <c r="C291" s="196" t="s">
        <v>470</v>
      </c>
      <c r="D291" s="196" t="s">
        <v>339</v>
      </c>
      <c r="E291" s="197">
        <v>42114</v>
      </c>
      <c r="F291" s="196">
        <v>1069</v>
      </c>
      <c r="G291" s="211"/>
      <c r="H291" s="211"/>
      <c r="I291" s="211"/>
      <c r="J291" s="211"/>
      <c r="K291" s="211"/>
    </row>
  </sheetData>
  <customSheetViews>
    <customSheetView guid="{32169818-EA48-4D2C-804F-10AFEFD0B9B2}" showGridLines="0" topLeftCell="C1">
      <selection activeCell="I3" sqref="I3"/>
      <pageMargins left="0.75" right="0.75" top="1" bottom="1" header="0.5" footer="0.5"/>
      <printOptions headings="1" gridLines="1"/>
      <pageSetup scale="90" orientation="landscape" horizontalDpi="300" verticalDpi="300" r:id="rId1"/>
      <headerFooter alignWithMargins="0">
        <oddFooter>&amp;L&amp;A&amp;C&amp;BPragati Software Pvt. Ltd. Confidential&amp;B&amp;RPage &amp;P</oddFooter>
      </headerFooter>
    </customSheetView>
  </customSheetViews>
  <phoneticPr fontId="13" type="noConversion"/>
  <printOptions headings="1" gridLines="1"/>
  <pageMargins left="0.75" right="0.75" top="1" bottom="1" header="0.5" footer="0.5"/>
  <pageSetup scale="90" orientation="landscape" horizontalDpi="300" verticalDpi="300" r:id="rId2"/>
  <headerFooter alignWithMargins="0">
    <oddFooter>&amp;L&amp;A&amp;C&amp;BPragati Software Pvt. Ltd. Confidential&amp;B&amp;RPage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87D8E-71FE-404A-AE28-7E8814CC9995}">
  <dimension ref="B5:L46"/>
  <sheetViews>
    <sheetView topLeftCell="A4" workbookViewId="0">
      <selection activeCell="C12" sqref="C12"/>
    </sheetView>
  </sheetViews>
  <sheetFormatPr defaultRowHeight="15"/>
  <cols>
    <col min="2" max="2" width="28.7109375" customWidth="1"/>
    <col min="3" max="3" width="14.7109375" customWidth="1"/>
    <col min="4" max="4" width="4.7109375" bestFit="1" customWidth="1"/>
    <col min="5" max="5" width="6.7109375" bestFit="1" customWidth="1"/>
    <col min="6" max="6" width="29" bestFit="1" customWidth="1"/>
    <col min="7" max="7" width="5.140625" customWidth="1"/>
    <col min="10" max="10" width="10.85546875" bestFit="1" customWidth="1"/>
    <col min="11" max="11" width="20.5703125" customWidth="1"/>
  </cols>
  <sheetData>
    <row r="5" spans="2:12" ht="34.5" customHeight="1">
      <c r="B5" s="246" t="s">
        <v>612</v>
      </c>
      <c r="C5" s="246" t="s">
        <v>679</v>
      </c>
      <c r="D5" s="246" t="s">
        <v>613</v>
      </c>
      <c r="E5" s="246" t="s">
        <v>680</v>
      </c>
      <c r="F5" s="247" t="s">
        <v>614</v>
      </c>
      <c r="G5" s="248"/>
      <c r="H5" s="247" t="s">
        <v>681</v>
      </c>
      <c r="I5" s="248"/>
      <c r="J5" s="246" t="s">
        <v>615</v>
      </c>
      <c r="K5" s="249" t="s">
        <v>616</v>
      </c>
      <c r="L5" s="250"/>
    </row>
    <row r="6" spans="2:12">
      <c r="B6" s="242" t="s">
        <v>617</v>
      </c>
      <c r="C6" s="243"/>
      <c r="D6" s="244" t="s">
        <v>618</v>
      </c>
      <c r="E6" s="243"/>
      <c r="F6" s="242" t="s">
        <v>619</v>
      </c>
      <c r="G6" s="242"/>
      <c r="H6" s="245"/>
      <c r="I6" s="245"/>
      <c r="J6" s="242" t="s">
        <v>620</v>
      </c>
      <c r="K6" s="243"/>
      <c r="L6" s="242"/>
    </row>
    <row r="7" spans="2:12">
      <c r="B7" s="242" t="s">
        <v>621</v>
      </c>
      <c r="C7" s="243"/>
      <c r="D7" s="244" t="s">
        <v>622</v>
      </c>
      <c r="E7" s="243"/>
      <c r="F7" s="242" t="s">
        <v>623</v>
      </c>
      <c r="G7" s="242"/>
      <c r="H7" s="245"/>
      <c r="I7" s="245"/>
      <c r="J7" s="242" t="s">
        <v>624</v>
      </c>
      <c r="K7" s="243"/>
      <c r="L7" s="242"/>
    </row>
    <row r="8" spans="2:12">
      <c r="B8" s="242" t="s">
        <v>625</v>
      </c>
      <c r="C8" s="243"/>
      <c r="D8" s="244" t="s">
        <v>626</v>
      </c>
      <c r="E8" s="243"/>
      <c r="F8" s="242" t="s">
        <v>627</v>
      </c>
      <c r="G8" s="242"/>
      <c r="H8" s="245"/>
      <c r="I8" s="245"/>
      <c r="J8" s="242" t="s">
        <v>628</v>
      </c>
      <c r="K8" s="243"/>
      <c r="L8" s="242"/>
    </row>
    <row r="9" spans="2:12">
      <c r="B9" s="242" t="s">
        <v>629</v>
      </c>
      <c r="C9" s="243"/>
      <c r="D9" s="244" t="s">
        <v>630</v>
      </c>
      <c r="E9" s="243"/>
      <c r="F9" s="242" t="s">
        <v>631</v>
      </c>
      <c r="G9" s="242"/>
      <c r="H9" s="245"/>
      <c r="I9" s="245"/>
      <c r="J9" s="242" t="s">
        <v>632</v>
      </c>
      <c r="K9" s="243"/>
      <c r="L9" s="242"/>
    </row>
    <row r="10" spans="2:12">
      <c r="B10" s="242" t="s">
        <v>633</v>
      </c>
      <c r="C10" s="243"/>
      <c r="D10" s="244" t="s">
        <v>634</v>
      </c>
      <c r="E10" s="243"/>
      <c r="F10" s="242" t="s">
        <v>635</v>
      </c>
      <c r="G10" s="242"/>
      <c r="H10" s="245"/>
      <c r="I10" s="245"/>
      <c r="J10" s="242" t="s">
        <v>636</v>
      </c>
      <c r="K10" s="243"/>
      <c r="L10" s="242"/>
    </row>
    <row r="11" spans="2:12">
      <c r="B11" s="242" t="s">
        <v>637</v>
      </c>
      <c r="C11" s="243"/>
      <c r="D11" s="244" t="s">
        <v>638</v>
      </c>
      <c r="E11" s="243"/>
      <c r="F11" s="242" t="s">
        <v>639</v>
      </c>
      <c r="G11" s="242"/>
      <c r="H11" s="245"/>
      <c r="I11" s="245"/>
      <c r="J11" s="242" t="s">
        <v>640</v>
      </c>
      <c r="K11" s="243"/>
      <c r="L11" s="242"/>
    </row>
    <row r="12" spans="2:12">
      <c r="B12" s="242" t="s">
        <v>641</v>
      </c>
      <c r="C12" s="243"/>
      <c r="D12" s="244" t="s">
        <v>642</v>
      </c>
      <c r="E12" s="243"/>
      <c r="F12" s="242" t="s">
        <v>643</v>
      </c>
      <c r="G12" s="242"/>
      <c r="H12" s="245"/>
      <c r="I12" s="245"/>
      <c r="J12" s="242" t="s">
        <v>644</v>
      </c>
      <c r="K12" s="243"/>
      <c r="L12" s="242"/>
    </row>
    <row r="13" spans="2:12">
      <c r="B13" s="242" t="s">
        <v>645</v>
      </c>
      <c r="C13" s="243"/>
      <c r="D13" s="244" t="s">
        <v>646</v>
      </c>
      <c r="E13" s="243"/>
      <c r="F13" s="242" t="s">
        <v>647</v>
      </c>
      <c r="G13" s="242"/>
      <c r="H13" s="245"/>
      <c r="I13" s="245"/>
      <c r="J13" s="242" t="s">
        <v>648</v>
      </c>
      <c r="K13" s="243"/>
      <c r="L13" s="242"/>
    </row>
    <row r="14" spans="2:12">
      <c r="B14" s="242" t="s">
        <v>649</v>
      </c>
      <c r="C14" s="243"/>
      <c r="D14" s="244" t="s">
        <v>650</v>
      </c>
      <c r="E14" s="243"/>
      <c r="F14" s="242" t="s">
        <v>651</v>
      </c>
      <c r="G14" s="242"/>
      <c r="H14" s="245"/>
      <c r="I14" s="245"/>
      <c r="J14" s="242" t="s">
        <v>640</v>
      </c>
      <c r="K14" s="243"/>
      <c r="L14" s="242"/>
    </row>
    <row r="15" spans="2:12">
      <c r="B15" s="242" t="s">
        <v>652</v>
      </c>
      <c r="C15" s="243"/>
      <c r="D15" s="244" t="s">
        <v>650</v>
      </c>
      <c r="E15" s="243"/>
      <c r="F15" s="242" t="s">
        <v>653</v>
      </c>
      <c r="G15" s="242"/>
      <c r="H15" s="245"/>
      <c r="I15" s="245"/>
      <c r="J15" s="242" t="s">
        <v>654</v>
      </c>
      <c r="K15" s="243"/>
      <c r="L15" s="242"/>
    </row>
    <row r="16" spans="2:12">
      <c r="B16" s="242" t="s">
        <v>655</v>
      </c>
      <c r="C16" s="243"/>
      <c r="D16" s="244" t="s">
        <v>656</v>
      </c>
      <c r="E16" s="243"/>
      <c r="F16" s="242" t="s">
        <v>657</v>
      </c>
      <c r="G16" s="242"/>
      <c r="H16" s="245"/>
      <c r="I16" s="245"/>
      <c r="J16" s="242" t="s">
        <v>658</v>
      </c>
      <c r="K16" s="243"/>
      <c r="L16" s="242"/>
    </row>
    <row r="17" spans="2:12">
      <c r="B17" s="242" t="s">
        <v>659</v>
      </c>
      <c r="C17" s="243"/>
      <c r="D17" s="244" t="s">
        <v>660</v>
      </c>
      <c r="E17" s="243"/>
      <c r="F17" s="242" t="s">
        <v>661</v>
      </c>
      <c r="G17" s="242"/>
      <c r="H17" s="245"/>
      <c r="I17" s="245"/>
      <c r="J17" s="242" t="s">
        <v>648</v>
      </c>
      <c r="K17" s="243"/>
      <c r="L17" s="242"/>
    </row>
    <row r="18" spans="2:12">
      <c r="B18" s="242" t="s">
        <v>662</v>
      </c>
      <c r="C18" s="243"/>
      <c r="D18" s="244" t="s">
        <v>663</v>
      </c>
      <c r="E18" s="243"/>
      <c r="F18" s="242" t="s">
        <v>664</v>
      </c>
      <c r="G18" s="242"/>
      <c r="H18" s="245"/>
      <c r="I18" s="245"/>
      <c r="J18" s="242" t="s">
        <v>648</v>
      </c>
      <c r="K18" s="243"/>
      <c r="L18" s="242"/>
    </row>
    <row r="19" spans="2:12">
      <c r="B19" s="242" t="s">
        <v>665</v>
      </c>
      <c r="C19" s="243"/>
      <c r="D19" s="244" t="s">
        <v>622</v>
      </c>
      <c r="E19" s="243"/>
      <c r="F19" s="242" t="s">
        <v>666</v>
      </c>
      <c r="G19" s="242"/>
      <c r="H19" s="245"/>
      <c r="I19" s="245"/>
      <c r="J19" s="242" t="s">
        <v>667</v>
      </c>
      <c r="K19" s="243"/>
      <c r="L19" s="242"/>
    </row>
    <row r="20" spans="2:12">
      <c r="B20" s="242" t="s">
        <v>668</v>
      </c>
      <c r="C20" s="243"/>
      <c r="D20" s="244" t="s">
        <v>669</v>
      </c>
      <c r="E20" s="243"/>
      <c r="F20" s="242" t="s">
        <v>670</v>
      </c>
      <c r="G20" s="242"/>
      <c r="H20" s="245"/>
      <c r="I20" s="245"/>
      <c r="J20" s="242" t="s">
        <v>648</v>
      </c>
      <c r="K20" s="243"/>
      <c r="L20" s="242"/>
    </row>
    <row r="21" spans="2:12">
      <c r="B21" s="242" t="s">
        <v>671</v>
      </c>
      <c r="C21" s="243"/>
      <c r="D21" s="244" t="s">
        <v>660</v>
      </c>
      <c r="E21" s="243"/>
      <c r="F21" s="242" t="s">
        <v>672</v>
      </c>
      <c r="G21" s="242"/>
      <c r="H21" s="245"/>
      <c r="I21" s="245"/>
      <c r="J21" s="242" t="s">
        <v>673</v>
      </c>
      <c r="K21" s="243"/>
      <c r="L21" s="242"/>
    </row>
    <row r="22" spans="2:12">
      <c r="B22" s="242" t="s">
        <v>674</v>
      </c>
      <c r="C22" s="243"/>
      <c r="D22" s="244" t="s">
        <v>634</v>
      </c>
      <c r="E22" s="243"/>
      <c r="F22" s="242" t="s">
        <v>675</v>
      </c>
      <c r="G22" s="242"/>
      <c r="H22" s="245"/>
      <c r="I22" s="245"/>
      <c r="J22" s="242" t="s">
        <v>636</v>
      </c>
      <c r="K22" s="243"/>
      <c r="L22" s="242"/>
    </row>
    <row r="23" spans="2:12">
      <c r="B23" s="242" t="s">
        <v>676</v>
      </c>
      <c r="C23" s="243"/>
      <c r="D23" s="244" t="s">
        <v>622</v>
      </c>
      <c r="E23" s="243"/>
      <c r="F23" s="242" t="s">
        <v>677</v>
      </c>
      <c r="G23" s="242"/>
      <c r="H23" s="245"/>
      <c r="I23" s="245"/>
      <c r="J23" s="242" t="s">
        <v>678</v>
      </c>
      <c r="K23" s="243"/>
      <c r="L23" s="242"/>
    </row>
    <row r="28" spans="2:12" ht="17.25">
      <c r="B28" s="247" t="s">
        <v>614</v>
      </c>
      <c r="C28" s="253" t="s">
        <v>708</v>
      </c>
    </row>
    <row r="29" spans="2:12">
      <c r="B29" s="242" t="s">
        <v>619</v>
      </c>
    </row>
    <row r="30" spans="2:12">
      <c r="B30" s="242" t="s">
        <v>623</v>
      </c>
    </row>
    <row r="31" spans="2:12">
      <c r="B31" s="242" t="s">
        <v>627</v>
      </c>
    </row>
    <row r="32" spans="2:12">
      <c r="B32" s="242" t="s">
        <v>631</v>
      </c>
    </row>
    <row r="33" spans="2:2">
      <c r="B33" s="242" t="s">
        <v>635</v>
      </c>
    </row>
    <row r="34" spans="2:2">
      <c r="B34" s="242" t="s">
        <v>639</v>
      </c>
    </row>
    <row r="35" spans="2:2">
      <c r="B35" s="242" t="s">
        <v>643</v>
      </c>
    </row>
    <row r="36" spans="2:2">
      <c r="B36" s="242" t="s">
        <v>647</v>
      </c>
    </row>
    <row r="37" spans="2:2">
      <c r="B37" s="242" t="s">
        <v>651</v>
      </c>
    </row>
    <row r="38" spans="2:2">
      <c r="B38" s="242" t="s">
        <v>653</v>
      </c>
    </row>
    <row r="39" spans="2:2">
      <c r="B39" s="242" t="s">
        <v>657</v>
      </c>
    </row>
    <row r="40" spans="2:2">
      <c r="B40" s="242" t="s">
        <v>661</v>
      </c>
    </row>
    <row r="41" spans="2:2">
      <c r="B41" s="242" t="s">
        <v>664</v>
      </c>
    </row>
    <row r="42" spans="2:2">
      <c r="B42" s="242" t="s">
        <v>666</v>
      </c>
    </row>
    <row r="43" spans="2:2">
      <c r="B43" s="242" t="s">
        <v>670</v>
      </c>
    </row>
    <row r="44" spans="2:2">
      <c r="B44" s="242" t="s">
        <v>672</v>
      </c>
    </row>
    <row r="45" spans="2:2">
      <c r="B45" s="242" t="s">
        <v>675</v>
      </c>
    </row>
    <row r="46" spans="2:2">
      <c r="B46" s="242" t="s">
        <v>677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10275-CC65-4264-9325-1CDF4BA452DC}">
  <dimension ref="B1:D20"/>
  <sheetViews>
    <sheetView showGridLines="0" workbookViewId="0">
      <selection activeCell="D6" sqref="D6"/>
    </sheetView>
  </sheetViews>
  <sheetFormatPr defaultRowHeight="15"/>
  <cols>
    <col min="2" max="2" width="17.28515625" bestFit="1" customWidth="1"/>
    <col min="3" max="3" width="17.7109375" customWidth="1"/>
    <col min="4" max="4" width="21.28515625" customWidth="1"/>
  </cols>
  <sheetData>
    <row r="1" spans="2:4" ht="15.75" thickBot="1"/>
    <row r="2" spans="2:4" ht="16.5" thickTop="1" thickBot="1">
      <c r="B2" s="259" t="s">
        <v>745</v>
      </c>
      <c r="C2" s="259" t="s">
        <v>746</v>
      </c>
      <c r="D2" s="259" t="s">
        <v>612</v>
      </c>
    </row>
    <row r="3" spans="2:4" ht="15.75" thickTop="1">
      <c r="B3" s="254" t="s">
        <v>709</v>
      </c>
      <c r="C3" t="s">
        <v>710</v>
      </c>
      <c r="D3" s="255"/>
    </row>
    <row r="4" spans="2:4">
      <c r="B4" s="254" t="s">
        <v>711</v>
      </c>
      <c r="C4" t="s">
        <v>712</v>
      </c>
      <c r="D4" s="255"/>
    </row>
    <row r="5" spans="2:4">
      <c r="B5" s="254" t="s">
        <v>713</v>
      </c>
      <c r="C5" t="s">
        <v>714</v>
      </c>
      <c r="D5" s="255"/>
    </row>
    <row r="6" spans="2:4">
      <c r="B6" s="254" t="s">
        <v>715</v>
      </c>
      <c r="C6" t="s">
        <v>716</v>
      </c>
      <c r="D6" s="255"/>
    </row>
    <row r="7" spans="2:4">
      <c r="B7" s="254" t="s">
        <v>717</v>
      </c>
      <c r="C7" t="s">
        <v>718</v>
      </c>
      <c r="D7" s="255"/>
    </row>
    <row r="8" spans="2:4">
      <c r="B8" s="254" t="s">
        <v>719</v>
      </c>
      <c r="C8" t="s">
        <v>720</v>
      </c>
      <c r="D8" s="255"/>
    </row>
    <row r="9" spans="2:4">
      <c r="B9" s="254" t="s">
        <v>721</v>
      </c>
      <c r="C9" t="s">
        <v>722</v>
      </c>
      <c r="D9" s="255"/>
    </row>
    <row r="10" spans="2:4">
      <c r="B10" s="254" t="s">
        <v>723</v>
      </c>
      <c r="C10" t="s">
        <v>724</v>
      </c>
      <c r="D10" s="255"/>
    </row>
    <row r="11" spans="2:4">
      <c r="B11" s="254" t="s">
        <v>725</v>
      </c>
      <c r="C11" t="s">
        <v>726</v>
      </c>
      <c r="D11" s="255"/>
    </row>
    <row r="12" spans="2:4">
      <c r="B12" s="254" t="s">
        <v>727</v>
      </c>
      <c r="C12" t="s">
        <v>728</v>
      </c>
      <c r="D12" s="255"/>
    </row>
    <row r="13" spans="2:4">
      <c r="B13" s="254" t="s">
        <v>729</v>
      </c>
      <c r="C13" t="s">
        <v>730</v>
      </c>
      <c r="D13" s="255"/>
    </row>
    <row r="14" spans="2:4">
      <c r="B14" s="254" t="s">
        <v>731</v>
      </c>
      <c r="C14" t="s">
        <v>732</v>
      </c>
      <c r="D14" s="255"/>
    </row>
    <row r="15" spans="2:4">
      <c r="B15" s="254" t="s">
        <v>733</v>
      </c>
      <c r="C15" t="s">
        <v>734</v>
      </c>
      <c r="D15" s="255"/>
    </row>
    <row r="16" spans="2:4">
      <c r="B16" s="254" t="s">
        <v>735</v>
      </c>
      <c r="C16" t="s">
        <v>736</v>
      </c>
      <c r="D16" s="255"/>
    </row>
    <row r="17" spans="2:4">
      <c r="B17" s="254" t="s">
        <v>737</v>
      </c>
      <c r="C17" t="s">
        <v>738</v>
      </c>
      <c r="D17" s="255"/>
    </row>
    <row r="18" spans="2:4">
      <c r="B18" s="254" t="s">
        <v>739</v>
      </c>
      <c r="C18" t="s">
        <v>740</v>
      </c>
      <c r="D18" s="255"/>
    </row>
    <row r="19" spans="2:4">
      <c r="B19" s="254" t="s">
        <v>741</v>
      </c>
      <c r="C19" t="s">
        <v>742</v>
      </c>
      <c r="D19" s="255"/>
    </row>
    <row r="20" spans="2:4">
      <c r="B20" s="256" t="s">
        <v>743</v>
      </c>
      <c r="C20" s="257" t="s">
        <v>744</v>
      </c>
      <c r="D20" s="25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89"/>
  <sheetViews>
    <sheetView showGridLines="0" zoomScaleNormal="115" workbookViewId="0">
      <selection activeCell="B12" sqref="B12"/>
    </sheetView>
  </sheetViews>
  <sheetFormatPr defaultColWidth="9.28515625" defaultRowHeight="12.75"/>
  <cols>
    <col min="1" max="1" width="11.7109375" style="1" bestFit="1" customWidth="1"/>
    <col min="2" max="2" width="12.28515625" style="1" customWidth="1"/>
    <col min="3" max="4" width="9.28515625" style="1"/>
    <col min="5" max="5" width="11.28515625" style="1" customWidth="1"/>
    <col min="6" max="16384" width="9.28515625" style="1"/>
  </cols>
  <sheetData>
    <row r="1" spans="1:6" ht="15">
      <c r="A1" s="195" t="s">
        <v>481</v>
      </c>
      <c r="B1" s="195" t="s">
        <v>39</v>
      </c>
      <c r="C1" s="195" t="s">
        <v>460</v>
      </c>
      <c r="D1" s="195" t="s">
        <v>282</v>
      </c>
      <c r="E1" s="195" t="s">
        <v>482</v>
      </c>
      <c r="F1" s="195" t="s">
        <v>461</v>
      </c>
    </row>
    <row r="2" spans="1:6" ht="15">
      <c r="A2" s="196">
        <v>117</v>
      </c>
      <c r="B2" s="196" t="s">
        <v>464</v>
      </c>
      <c r="C2" s="196" t="s">
        <v>465</v>
      </c>
      <c r="D2" s="196" t="s">
        <v>478</v>
      </c>
      <c r="E2" s="197">
        <v>42891</v>
      </c>
      <c r="F2" s="196">
        <v>13032</v>
      </c>
    </row>
    <row r="3" spans="1:6" ht="15">
      <c r="A3" s="196">
        <v>164</v>
      </c>
      <c r="B3" s="196" t="s">
        <v>462</v>
      </c>
      <c r="C3" s="196" t="s">
        <v>468</v>
      </c>
      <c r="D3" s="196" t="s">
        <v>478</v>
      </c>
      <c r="E3" s="197">
        <v>42869</v>
      </c>
      <c r="F3" s="196">
        <v>12455</v>
      </c>
    </row>
    <row r="4" spans="1:6" ht="15">
      <c r="A4" s="196">
        <v>102</v>
      </c>
      <c r="B4" s="196" t="s">
        <v>469</v>
      </c>
      <c r="C4" s="196" t="s">
        <v>465</v>
      </c>
      <c r="D4" s="196" t="s">
        <v>478</v>
      </c>
      <c r="E4" s="197">
        <v>42680</v>
      </c>
      <c r="F4" s="196">
        <v>23428</v>
      </c>
    </row>
    <row r="5" spans="1:6" ht="15">
      <c r="A5" s="196">
        <v>175</v>
      </c>
      <c r="B5" s="196" t="s">
        <v>471</v>
      </c>
      <c r="C5" s="196" t="s">
        <v>470</v>
      </c>
      <c r="D5" s="196" t="s">
        <v>478</v>
      </c>
      <c r="E5" s="197">
        <v>42668</v>
      </c>
      <c r="F5" s="196">
        <v>16242</v>
      </c>
    </row>
    <row r="6" spans="1:6" ht="15">
      <c r="A6" s="196">
        <v>96</v>
      </c>
      <c r="B6" s="196" t="s">
        <v>469</v>
      </c>
      <c r="C6" s="196" t="s">
        <v>470</v>
      </c>
      <c r="D6" s="196" t="s">
        <v>478</v>
      </c>
      <c r="E6" s="197">
        <v>42525</v>
      </c>
      <c r="F6" s="196">
        <v>22907</v>
      </c>
    </row>
    <row r="7" spans="1:6" ht="15">
      <c r="A7" s="196">
        <v>187</v>
      </c>
      <c r="B7" s="196" t="s">
        <v>473</v>
      </c>
      <c r="C7" s="196" t="s">
        <v>468</v>
      </c>
      <c r="D7" s="196" t="s">
        <v>478</v>
      </c>
      <c r="E7" s="197">
        <v>42475</v>
      </c>
      <c r="F7" s="196">
        <v>3749</v>
      </c>
    </row>
    <row r="8" spans="1:6" ht="15">
      <c r="A8" s="196">
        <v>199</v>
      </c>
      <c r="B8" s="196" t="s">
        <v>469</v>
      </c>
      <c r="C8" s="196" t="s">
        <v>468</v>
      </c>
      <c r="D8" s="196" t="s">
        <v>478</v>
      </c>
      <c r="E8" s="197">
        <v>42446</v>
      </c>
      <c r="F8" s="196">
        <v>13974</v>
      </c>
    </row>
    <row r="9" spans="1:6" ht="15">
      <c r="A9" s="196">
        <v>253</v>
      </c>
      <c r="B9" s="196" t="s">
        <v>473</v>
      </c>
      <c r="C9" s="196" t="s">
        <v>465</v>
      </c>
      <c r="D9" s="196" t="s">
        <v>478</v>
      </c>
      <c r="E9" s="197">
        <v>42443</v>
      </c>
      <c r="F9" s="196">
        <v>17046</v>
      </c>
    </row>
    <row r="10" spans="1:6" ht="15">
      <c r="A10" s="196">
        <v>27</v>
      </c>
      <c r="B10" s="196" t="s">
        <v>467</v>
      </c>
      <c r="C10" s="196" t="s">
        <v>465</v>
      </c>
      <c r="D10" s="196" t="s">
        <v>478</v>
      </c>
      <c r="E10" s="197">
        <v>42405</v>
      </c>
      <c r="F10" s="196">
        <v>26837</v>
      </c>
    </row>
    <row r="11" spans="1:6" ht="15">
      <c r="A11" s="196">
        <v>259</v>
      </c>
      <c r="B11" s="196" t="s">
        <v>462</v>
      </c>
      <c r="C11" s="196" t="s">
        <v>465</v>
      </c>
      <c r="D11" s="196" t="s">
        <v>478</v>
      </c>
      <c r="E11" s="197">
        <v>42359</v>
      </c>
      <c r="F11" s="196">
        <v>15505</v>
      </c>
    </row>
    <row r="12" spans="1:6" ht="15">
      <c r="A12" s="196">
        <v>280</v>
      </c>
      <c r="B12" s="196" t="s">
        <v>471</v>
      </c>
      <c r="C12" s="196" t="s">
        <v>465</v>
      </c>
      <c r="D12" s="196" t="s">
        <v>478</v>
      </c>
      <c r="E12" s="197">
        <v>42343</v>
      </c>
      <c r="F12" s="196">
        <v>17046</v>
      </c>
    </row>
    <row r="13" spans="1:6" ht="15">
      <c r="A13" s="196">
        <v>152</v>
      </c>
      <c r="B13" s="196" t="s">
        <v>462</v>
      </c>
      <c r="C13" s="196" t="s">
        <v>470</v>
      </c>
      <c r="D13" s="196" t="s">
        <v>478</v>
      </c>
      <c r="E13" s="197">
        <v>42245</v>
      </c>
      <c r="F13" s="196">
        <v>6361</v>
      </c>
    </row>
    <row r="14" spans="1:6" ht="15">
      <c r="A14" s="196">
        <v>226</v>
      </c>
      <c r="B14" s="196" t="s">
        <v>467</v>
      </c>
      <c r="C14" s="196" t="s">
        <v>470</v>
      </c>
      <c r="D14" s="196" t="s">
        <v>478</v>
      </c>
      <c r="E14" s="197">
        <v>42218</v>
      </c>
      <c r="F14" s="196">
        <v>5724</v>
      </c>
    </row>
    <row r="15" spans="1:6" ht="15">
      <c r="A15" s="196">
        <v>167</v>
      </c>
      <c r="B15" s="196" t="s">
        <v>464</v>
      </c>
      <c r="C15" s="196" t="s">
        <v>470</v>
      </c>
      <c r="D15" s="196" t="s">
        <v>478</v>
      </c>
      <c r="E15" s="197">
        <v>42111</v>
      </c>
      <c r="F15" s="196">
        <v>11353</v>
      </c>
    </row>
    <row r="16" spans="1:6" ht="15">
      <c r="A16" s="196">
        <v>151</v>
      </c>
      <c r="B16" s="196" t="s">
        <v>473</v>
      </c>
      <c r="C16" s="196" t="s">
        <v>470</v>
      </c>
      <c r="D16" s="196" t="s">
        <v>478</v>
      </c>
      <c r="E16" s="197">
        <v>42090</v>
      </c>
      <c r="F16" s="196">
        <v>16242</v>
      </c>
    </row>
    <row r="17" spans="1:6" ht="15">
      <c r="A17" s="196">
        <v>223</v>
      </c>
      <c r="B17" s="196" t="s">
        <v>471</v>
      </c>
      <c r="C17" s="196" t="s">
        <v>468</v>
      </c>
      <c r="D17" s="196" t="s">
        <v>478</v>
      </c>
      <c r="E17" s="197">
        <v>41940</v>
      </c>
      <c r="F17" s="196">
        <v>3749</v>
      </c>
    </row>
    <row r="18" spans="1:6" ht="15">
      <c r="A18" s="196">
        <v>113</v>
      </c>
      <c r="B18" s="196" t="s">
        <v>467</v>
      </c>
      <c r="C18" s="196" t="s">
        <v>468</v>
      </c>
      <c r="D18" s="196" t="s">
        <v>478</v>
      </c>
      <c r="E18" s="197">
        <v>41939</v>
      </c>
      <c r="F18" s="196">
        <v>24538</v>
      </c>
    </row>
    <row r="19" spans="1:6" ht="15">
      <c r="A19" s="196">
        <v>122</v>
      </c>
      <c r="B19" s="196" t="s">
        <v>464</v>
      </c>
      <c r="C19" s="196" t="s">
        <v>468</v>
      </c>
      <c r="D19" s="196" t="s">
        <v>478</v>
      </c>
      <c r="E19" s="197">
        <v>41916</v>
      </c>
      <c r="F19" s="196">
        <v>27634</v>
      </c>
    </row>
    <row r="20" spans="1:6" ht="15">
      <c r="A20" s="196">
        <v>134</v>
      </c>
      <c r="B20" s="196" t="s">
        <v>464</v>
      </c>
      <c r="C20" s="196" t="s">
        <v>465</v>
      </c>
      <c r="D20" s="196" t="s">
        <v>477</v>
      </c>
      <c r="E20" s="197">
        <v>42852</v>
      </c>
      <c r="F20" s="196">
        <v>1442</v>
      </c>
    </row>
    <row r="21" spans="1:6" ht="15">
      <c r="A21" s="196">
        <v>177</v>
      </c>
      <c r="B21" s="196" t="s">
        <v>462</v>
      </c>
      <c r="C21" s="196" t="s">
        <v>463</v>
      </c>
      <c r="D21" s="196" t="s">
        <v>477</v>
      </c>
      <c r="E21" s="197">
        <v>42694</v>
      </c>
      <c r="F21" s="196">
        <v>5066</v>
      </c>
    </row>
    <row r="22" spans="1:6" ht="15">
      <c r="A22" s="196">
        <v>109</v>
      </c>
      <c r="B22" s="196" t="s">
        <v>467</v>
      </c>
      <c r="C22" s="196" t="s">
        <v>468</v>
      </c>
      <c r="D22" s="196" t="s">
        <v>477</v>
      </c>
      <c r="E22" s="197">
        <v>42683</v>
      </c>
      <c r="F22" s="196">
        <v>12309</v>
      </c>
    </row>
    <row r="23" spans="1:6" ht="15">
      <c r="A23" s="196">
        <v>90</v>
      </c>
      <c r="B23" s="196" t="s">
        <v>469</v>
      </c>
      <c r="C23" s="196" t="s">
        <v>468</v>
      </c>
      <c r="D23" s="196" t="s">
        <v>477</v>
      </c>
      <c r="E23" s="197">
        <v>42632</v>
      </c>
      <c r="F23" s="196">
        <v>2030</v>
      </c>
    </row>
    <row r="24" spans="1:6" ht="15">
      <c r="A24" s="196">
        <v>213</v>
      </c>
      <c r="B24" s="196" t="s">
        <v>473</v>
      </c>
      <c r="C24" s="196" t="s">
        <v>468</v>
      </c>
      <c r="D24" s="196" t="s">
        <v>477</v>
      </c>
      <c r="E24" s="197">
        <v>42510</v>
      </c>
      <c r="F24" s="196">
        <v>4299</v>
      </c>
    </row>
    <row r="25" spans="1:6" ht="15">
      <c r="A25" s="196">
        <v>41</v>
      </c>
      <c r="B25" s="196" t="s">
        <v>469</v>
      </c>
      <c r="C25" s="196" t="s">
        <v>463</v>
      </c>
      <c r="D25" s="196" t="s">
        <v>477</v>
      </c>
      <c r="E25" s="197">
        <v>42505</v>
      </c>
      <c r="F25" s="196">
        <v>1137</v>
      </c>
    </row>
    <row r="26" spans="1:6" ht="15">
      <c r="A26" s="196">
        <v>163</v>
      </c>
      <c r="B26" s="196" t="s">
        <v>467</v>
      </c>
      <c r="C26" s="196" t="s">
        <v>465</v>
      </c>
      <c r="D26" s="196" t="s">
        <v>477</v>
      </c>
      <c r="E26" s="197">
        <v>42469</v>
      </c>
      <c r="F26" s="196">
        <v>28361</v>
      </c>
    </row>
    <row r="27" spans="1:6" ht="15">
      <c r="A27" s="196">
        <v>249</v>
      </c>
      <c r="B27" s="196" t="s">
        <v>471</v>
      </c>
      <c r="C27" s="196" t="s">
        <v>468</v>
      </c>
      <c r="D27" s="196" t="s">
        <v>477</v>
      </c>
      <c r="E27" s="197">
        <v>42431</v>
      </c>
      <c r="F27" s="196">
        <v>4299</v>
      </c>
    </row>
    <row r="28" spans="1:6" ht="15">
      <c r="A28" s="196">
        <v>89</v>
      </c>
      <c r="B28" s="196" t="s">
        <v>467</v>
      </c>
      <c r="C28" s="196" t="s">
        <v>463</v>
      </c>
      <c r="D28" s="196" t="s">
        <v>477</v>
      </c>
      <c r="E28" s="197">
        <v>42398</v>
      </c>
      <c r="F28" s="196">
        <v>8875</v>
      </c>
    </row>
    <row r="29" spans="1:6" ht="15">
      <c r="A29" s="196">
        <v>165</v>
      </c>
      <c r="B29" s="196" t="s">
        <v>464</v>
      </c>
      <c r="C29" s="196" t="s">
        <v>463</v>
      </c>
      <c r="D29" s="196" t="s">
        <v>477</v>
      </c>
      <c r="E29" s="197">
        <v>42366</v>
      </c>
      <c r="F29" s="196">
        <v>9584</v>
      </c>
    </row>
    <row r="30" spans="1:6" ht="15">
      <c r="A30" s="196">
        <v>174</v>
      </c>
      <c r="B30" s="196" t="s">
        <v>462</v>
      </c>
      <c r="C30" s="196" t="s">
        <v>468</v>
      </c>
      <c r="D30" s="196" t="s">
        <v>477</v>
      </c>
      <c r="E30" s="197">
        <v>42257</v>
      </c>
      <c r="F30" s="196">
        <v>10902</v>
      </c>
    </row>
    <row r="31" spans="1:6" ht="15">
      <c r="A31" s="196">
        <v>42</v>
      </c>
      <c r="B31" s="196" t="s">
        <v>473</v>
      </c>
      <c r="C31" s="196" t="s">
        <v>465</v>
      </c>
      <c r="D31" s="196" t="s">
        <v>477</v>
      </c>
      <c r="E31" s="197">
        <v>42201</v>
      </c>
      <c r="F31" s="196">
        <v>1701</v>
      </c>
    </row>
    <row r="32" spans="1:6" ht="15">
      <c r="A32" s="196">
        <v>63</v>
      </c>
      <c r="B32" s="196" t="s">
        <v>462</v>
      </c>
      <c r="C32" s="196" t="s">
        <v>465</v>
      </c>
      <c r="D32" s="196" t="s">
        <v>477</v>
      </c>
      <c r="E32" s="197">
        <v>42154</v>
      </c>
      <c r="F32" s="196">
        <v>10349</v>
      </c>
    </row>
    <row r="33" spans="1:6" ht="15">
      <c r="A33" s="196">
        <v>144</v>
      </c>
      <c r="B33" s="196" t="s">
        <v>469</v>
      </c>
      <c r="C33" s="196" t="s">
        <v>465</v>
      </c>
      <c r="D33" s="196" t="s">
        <v>477</v>
      </c>
      <c r="E33" s="197">
        <v>42104</v>
      </c>
      <c r="F33" s="196">
        <v>15843</v>
      </c>
    </row>
    <row r="34" spans="1:6" ht="15">
      <c r="A34" s="196">
        <v>184</v>
      </c>
      <c r="B34" s="196" t="s">
        <v>471</v>
      </c>
      <c r="C34" s="196" t="s">
        <v>463</v>
      </c>
      <c r="D34" s="196" t="s">
        <v>477</v>
      </c>
      <c r="E34" s="197">
        <v>42101</v>
      </c>
      <c r="F34" s="196">
        <v>14751</v>
      </c>
    </row>
    <row r="35" spans="1:6" ht="15">
      <c r="A35" s="196">
        <v>209</v>
      </c>
      <c r="B35" s="196" t="s">
        <v>471</v>
      </c>
      <c r="C35" s="196" t="s">
        <v>465</v>
      </c>
      <c r="D35" s="196" t="s">
        <v>477</v>
      </c>
      <c r="E35" s="197">
        <v>42048</v>
      </c>
      <c r="F35" s="196">
        <v>1701</v>
      </c>
    </row>
    <row r="36" spans="1:6" ht="15">
      <c r="A36" s="196">
        <v>26</v>
      </c>
      <c r="B36" s="196" t="s">
        <v>464</v>
      </c>
      <c r="C36" s="196" t="s">
        <v>468</v>
      </c>
      <c r="D36" s="196" t="s">
        <v>477</v>
      </c>
      <c r="E36" s="197">
        <v>41940</v>
      </c>
      <c r="F36" s="196">
        <v>16937</v>
      </c>
    </row>
    <row r="37" spans="1:6" ht="15">
      <c r="A37" s="196">
        <v>73</v>
      </c>
      <c r="B37" s="196" t="s">
        <v>473</v>
      </c>
      <c r="C37" s="196" t="s">
        <v>463</v>
      </c>
      <c r="D37" s="196" t="s">
        <v>477</v>
      </c>
      <c r="E37" s="197">
        <v>41914</v>
      </c>
      <c r="F37" s="196">
        <v>14751</v>
      </c>
    </row>
    <row r="38" spans="1:6" ht="15">
      <c r="A38" s="196">
        <v>159</v>
      </c>
      <c r="B38" s="196" t="s">
        <v>473</v>
      </c>
      <c r="C38" s="196" t="s">
        <v>465</v>
      </c>
      <c r="D38" s="196" t="s">
        <v>348</v>
      </c>
      <c r="E38" s="197">
        <v>42856</v>
      </c>
      <c r="F38" s="196">
        <v>258</v>
      </c>
    </row>
    <row r="39" spans="1:6" ht="15">
      <c r="A39" s="196">
        <v>46</v>
      </c>
      <c r="B39" s="196" t="s">
        <v>469</v>
      </c>
      <c r="C39" s="196" t="s">
        <v>463</v>
      </c>
      <c r="D39" s="196" t="s">
        <v>348</v>
      </c>
      <c r="E39" s="197">
        <v>42827</v>
      </c>
      <c r="F39" s="196">
        <v>4714</v>
      </c>
    </row>
    <row r="40" spans="1:6" ht="15">
      <c r="A40" s="196">
        <v>176</v>
      </c>
      <c r="B40" s="196" t="s">
        <v>464</v>
      </c>
      <c r="C40" s="196" t="s">
        <v>465</v>
      </c>
      <c r="D40" s="196" t="s">
        <v>348</v>
      </c>
      <c r="E40" s="197">
        <v>42814</v>
      </c>
      <c r="F40" s="196">
        <v>12971</v>
      </c>
    </row>
    <row r="41" spans="1:6" ht="15">
      <c r="A41" s="196">
        <v>98</v>
      </c>
      <c r="B41" s="196" t="s">
        <v>473</v>
      </c>
      <c r="C41" s="196" t="s">
        <v>470</v>
      </c>
      <c r="D41" s="196" t="s">
        <v>348</v>
      </c>
      <c r="E41" s="197">
        <v>42806</v>
      </c>
      <c r="F41" s="196">
        <v>17294</v>
      </c>
    </row>
    <row r="42" spans="1:6" ht="15">
      <c r="A42" s="196">
        <v>128</v>
      </c>
      <c r="B42" s="196" t="s">
        <v>462</v>
      </c>
      <c r="C42" s="196" t="s">
        <v>465</v>
      </c>
      <c r="D42" s="196" t="s">
        <v>348</v>
      </c>
      <c r="E42" s="197">
        <v>42789</v>
      </c>
      <c r="F42" s="196">
        <v>22175</v>
      </c>
    </row>
    <row r="43" spans="1:6" ht="15">
      <c r="A43" s="196">
        <v>157</v>
      </c>
      <c r="B43" s="196" t="s">
        <v>471</v>
      </c>
      <c r="C43" s="196" t="s">
        <v>465</v>
      </c>
      <c r="D43" s="196" t="s">
        <v>348</v>
      </c>
      <c r="E43" s="197">
        <v>42713</v>
      </c>
      <c r="F43" s="196">
        <v>258</v>
      </c>
    </row>
    <row r="44" spans="1:6" ht="15">
      <c r="A44" s="196">
        <v>264</v>
      </c>
      <c r="B44" s="196" t="s">
        <v>462</v>
      </c>
      <c r="C44" s="196" t="s">
        <v>463</v>
      </c>
      <c r="D44" s="196" t="s">
        <v>348</v>
      </c>
      <c r="E44" s="197">
        <v>42710</v>
      </c>
      <c r="F44" s="196">
        <v>23980</v>
      </c>
    </row>
    <row r="45" spans="1:6" ht="15">
      <c r="A45" s="196">
        <v>9</v>
      </c>
      <c r="B45" s="196" t="s">
        <v>469</v>
      </c>
      <c r="C45" s="196" t="s">
        <v>470</v>
      </c>
      <c r="D45" s="196" t="s">
        <v>348</v>
      </c>
      <c r="E45" s="197">
        <v>42506</v>
      </c>
      <c r="F45" s="196">
        <v>29774</v>
      </c>
    </row>
    <row r="46" spans="1:6" ht="15">
      <c r="A46" s="196">
        <v>33</v>
      </c>
      <c r="B46" s="196" t="s">
        <v>464</v>
      </c>
      <c r="C46" s="196" t="s">
        <v>470</v>
      </c>
      <c r="D46" s="196" t="s">
        <v>348</v>
      </c>
      <c r="E46" s="197">
        <v>42451</v>
      </c>
      <c r="F46" s="196">
        <v>15118</v>
      </c>
    </row>
    <row r="47" spans="1:6" ht="15">
      <c r="A47" s="196">
        <v>183</v>
      </c>
      <c r="B47" s="196" t="s">
        <v>471</v>
      </c>
      <c r="C47" s="196" t="s">
        <v>463</v>
      </c>
      <c r="D47" s="196" t="s">
        <v>348</v>
      </c>
      <c r="E47" s="197">
        <v>42392</v>
      </c>
      <c r="F47" s="196">
        <v>19116</v>
      </c>
    </row>
    <row r="48" spans="1:6" ht="15">
      <c r="A48" s="196">
        <v>99</v>
      </c>
      <c r="B48" s="196" t="s">
        <v>467</v>
      </c>
      <c r="C48" s="196" t="s">
        <v>465</v>
      </c>
      <c r="D48" s="196" t="s">
        <v>348</v>
      </c>
      <c r="E48" s="197">
        <v>42391</v>
      </c>
      <c r="F48" s="196">
        <v>17047</v>
      </c>
    </row>
    <row r="49" spans="1:6" ht="15">
      <c r="A49" s="196">
        <v>229</v>
      </c>
      <c r="B49" s="196" t="s">
        <v>462</v>
      </c>
      <c r="C49" s="196" t="s">
        <v>470</v>
      </c>
      <c r="D49" s="196" t="s">
        <v>348</v>
      </c>
      <c r="E49" s="197">
        <v>42364</v>
      </c>
      <c r="F49" s="196">
        <v>483</v>
      </c>
    </row>
    <row r="50" spans="1:6" ht="15">
      <c r="A50" s="196">
        <v>8</v>
      </c>
      <c r="B50" s="196" t="s">
        <v>473</v>
      </c>
      <c r="C50" s="196" t="s">
        <v>470</v>
      </c>
      <c r="D50" s="196" t="s">
        <v>348</v>
      </c>
      <c r="E50" s="197">
        <v>42353</v>
      </c>
      <c r="F50" s="196">
        <v>18819</v>
      </c>
    </row>
    <row r="51" spans="1:6" ht="15">
      <c r="A51" s="196">
        <v>2</v>
      </c>
      <c r="B51" s="196" t="s">
        <v>464</v>
      </c>
      <c r="C51" s="196" t="s">
        <v>463</v>
      </c>
      <c r="D51" s="196" t="s">
        <v>348</v>
      </c>
      <c r="E51" s="197">
        <v>42310</v>
      </c>
      <c r="F51" s="196">
        <v>27252</v>
      </c>
    </row>
    <row r="52" spans="1:6" ht="15">
      <c r="A52" s="196">
        <v>235</v>
      </c>
      <c r="B52" s="196" t="s">
        <v>469</v>
      </c>
      <c r="C52" s="196" t="s">
        <v>470</v>
      </c>
      <c r="D52" s="196" t="s">
        <v>348</v>
      </c>
      <c r="E52" s="197">
        <v>42247</v>
      </c>
      <c r="F52" s="196">
        <v>22234</v>
      </c>
    </row>
    <row r="53" spans="1:6" ht="15">
      <c r="A53" s="196">
        <v>36</v>
      </c>
      <c r="B53" s="196" t="s">
        <v>467</v>
      </c>
      <c r="C53" s="196" t="s">
        <v>470</v>
      </c>
      <c r="D53" s="196" t="s">
        <v>348</v>
      </c>
      <c r="E53" s="197">
        <v>42207</v>
      </c>
      <c r="F53" s="196">
        <v>20903</v>
      </c>
    </row>
    <row r="54" spans="1:6" ht="15">
      <c r="A54" s="196">
        <v>261</v>
      </c>
      <c r="B54" s="196" t="s">
        <v>462</v>
      </c>
      <c r="C54" s="196" t="s">
        <v>470</v>
      </c>
      <c r="D54" s="196" t="s">
        <v>348</v>
      </c>
      <c r="E54" s="197">
        <v>42199</v>
      </c>
      <c r="F54" s="196">
        <v>24865</v>
      </c>
    </row>
    <row r="55" spans="1:6" ht="15">
      <c r="A55" s="196">
        <v>79</v>
      </c>
      <c r="B55" s="196" t="s">
        <v>471</v>
      </c>
      <c r="C55" s="196" t="s">
        <v>470</v>
      </c>
      <c r="D55" s="196" t="s">
        <v>348</v>
      </c>
      <c r="E55" s="197">
        <v>42175</v>
      </c>
      <c r="F55" s="196">
        <v>17294</v>
      </c>
    </row>
    <row r="56" spans="1:6" ht="15">
      <c r="A56" s="196">
        <v>255</v>
      </c>
      <c r="B56" s="196" t="s">
        <v>464</v>
      </c>
      <c r="C56" s="196" t="s">
        <v>470</v>
      </c>
      <c r="D56" s="196" t="s">
        <v>348</v>
      </c>
      <c r="E56" s="197">
        <v>42110</v>
      </c>
      <c r="F56" s="196">
        <v>9278</v>
      </c>
    </row>
    <row r="57" spans="1:6" ht="15">
      <c r="A57" s="196">
        <v>262</v>
      </c>
      <c r="B57" s="196" t="s">
        <v>469</v>
      </c>
      <c r="C57" s="196" t="s">
        <v>465</v>
      </c>
      <c r="D57" s="196" t="s">
        <v>348</v>
      </c>
      <c r="E57" s="197">
        <v>42095</v>
      </c>
      <c r="F57" s="196">
        <v>10275</v>
      </c>
    </row>
    <row r="58" spans="1:6" ht="15">
      <c r="A58" s="196">
        <v>133</v>
      </c>
      <c r="B58" s="196" t="s">
        <v>471</v>
      </c>
      <c r="C58" s="196" t="s">
        <v>470</v>
      </c>
      <c r="D58" s="196" t="s">
        <v>348</v>
      </c>
      <c r="E58" s="197">
        <v>42074</v>
      </c>
      <c r="F58" s="196">
        <v>18819</v>
      </c>
    </row>
    <row r="59" spans="1:6" ht="15">
      <c r="A59" s="196">
        <v>169</v>
      </c>
      <c r="B59" s="196" t="s">
        <v>473</v>
      </c>
      <c r="C59" s="196" t="s">
        <v>463</v>
      </c>
      <c r="D59" s="196" t="s">
        <v>348</v>
      </c>
      <c r="E59" s="197">
        <v>42050</v>
      </c>
      <c r="F59" s="196">
        <v>19116</v>
      </c>
    </row>
    <row r="60" spans="1:6" ht="15">
      <c r="A60" s="196">
        <v>135</v>
      </c>
      <c r="B60" s="196" t="s">
        <v>467</v>
      </c>
      <c r="C60" s="196" t="s">
        <v>470</v>
      </c>
      <c r="D60" s="196" t="s">
        <v>348</v>
      </c>
      <c r="E60" s="197">
        <v>41984</v>
      </c>
      <c r="F60" s="196">
        <v>9091</v>
      </c>
    </row>
    <row r="61" spans="1:6" ht="15">
      <c r="A61" s="196">
        <v>211</v>
      </c>
      <c r="B61" s="196" t="s">
        <v>467</v>
      </c>
      <c r="C61" s="196" t="s">
        <v>463</v>
      </c>
      <c r="D61" s="196" t="s">
        <v>348</v>
      </c>
      <c r="E61" s="197">
        <v>41972</v>
      </c>
      <c r="F61" s="196">
        <v>11343</v>
      </c>
    </row>
    <row r="62" spans="1:6" ht="15">
      <c r="A62" s="196">
        <v>257</v>
      </c>
      <c r="B62" s="196" t="s">
        <v>469</v>
      </c>
      <c r="C62" s="196" t="s">
        <v>470</v>
      </c>
      <c r="D62" s="196" t="s">
        <v>339</v>
      </c>
      <c r="E62" s="197">
        <v>42758</v>
      </c>
      <c r="F62" s="196">
        <v>16301</v>
      </c>
    </row>
    <row r="63" spans="1:6" ht="15">
      <c r="A63" s="196">
        <v>87</v>
      </c>
      <c r="B63" s="196" t="s">
        <v>462</v>
      </c>
      <c r="C63" s="196" t="s">
        <v>470</v>
      </c>
      <c r="D63" s="196" t="s">
        <v>339</v>
      </c>
      <c r="E63" s="197">
        <v>42693</v>
      </c>
      <c r="F63" s="196">
        <v>15959</v>
      </c>
    </row>
    <row r="64" spans="1:6" ht="15">
      <c r="A64" s="196">
        <v>202</v>
      </c>
      <c r="B64" s="196" t="s">
        <v>469</v>
      </c>
      <c r="C64" s="196" t="s">
        <v>463</v>
      </c>
      <c r="D64" s="196" t="s">
        <v>339</v>
      </c>
      <c r="E64" s="197">
        <v>42649</v>
      </c>
      <c r="F64" s="196">
        <v>14378</v>
      </c>
    </row>
    <row r="65" spans="1:6" ht="15">
      <c r="A65" s="196">
        <v>230</v>
      </c>
      <c r="B65" s="196" t="s">
        <v>471</v>
      </c>
      <c r="C65" s="196" t="s">
        <v>470</v>
      </c>
      <c r="D65" s="196" t="s">
        <v>339</v>
      </c>
      <c r="E65" s="197">
        <v>42542</v>
      </c>
      <c r="F65" s="196">
        <v>1069</v>
      </c>
    </row>
    <row r="66" spans="1:6" ht="15">
      <c r="A66" s="196">
        <v>71</v>
      </c>
      <c r="B66" s="196" t="s">
        <v>467</v>
      </c>
      <c r="C66" s="196" t="s">
        <v>470</v>
      </c>
      <c r="D66" s="196" t="s">
        <v>339</v>
      </c>
      <c r="E66" s="197">
        <v>42514</v>
      </c>
      <c r="F66" s="196">
        <v>16592</v>
      </c>
    </row>
    <row r="67" spans="1:6" ht="15">
      <c r="A67" s="196">
        <v>75</v>
      </c>
      <c r="B67" s="196" t="s">
        <v>462</v>
      </c>
      <c r="C67" s="196" t="s">
        <v>463</v>
      </c>
      <c r="D67" s="196" t="s">
        <v>339</v>
      </c>
      <c r="E67" s="197">
        <v>42511</v>
      </c>
      <c r="F67" s="196">
        <v>8607</v>
      </c>
    </row>
    <row r="68" spans="1:6" ht="15">
      <c r="A68" s="196">
        <v>114</v>
      </c>
      <c r="B68" s="196" t="s">
        <v>471</v>
      </c>
      <c r="C68" s="196" t="s">
        <v>463</v>
      </c>
      <c r="D68" s="196" t="s">
        <v>339</v>
      </c>
      <c r="E68" s="197">
        <v>42406</v>
      </c>
      <c r="F68" s="196">
        <v>167</v>
      </c>
    </row>
    <row r="69" spans="1:6" ht="15">
      <c r="A69" s="196">
        <v>221</v>
      </c>
      <c r="B69" s="196" t="s">
        <v>464</v>
      </c>
      <c r="C69" s="196" t="s">
        <v>470</v>
      </c>
      <c r="D69" s="196" t="s">
        <v>339</v>
      </c>
      <c r="E69" s="197">
        <v>42346</v>
      </c>
      <c r="F69" s="196">
        <v>13228</v>
      </c>
    </row>
    <row r="70" spans="1:6" ht="15">
      <c r="A70" s="196">
        <v>136</v>
      </c>
      <c r="B70" s="196" t="s">
        <v>473</v>
      </c>
      <c r="C70" s="196" t="s">
        <v>470</v>
      </c>
      <c r="D70" s="196" t="s">
        <v>339</v>
      </c>
      <c r="E70" s="197">
        <v>42271</v>
      </c>
      <c r="F70" s="196">
        <v>2713</v>
      </c>
    </row>
    <row r="71" spans="1:6" ht="15">
      <c r="A71" s="196">
        <v>30</v>
      </c>
      <c r="B71" s="196" t="s">
        <v>464</v>
      </c>
      <c r="C71" s="196" t="s">
        <v>470</v>
      </c>
      <c r="D71" s="196" t="s">
        <v>339</v>
      </c>
      <c r="E71" s="197">
        <v>42239</v>
      </c>
      <c r="F71" s="196">
        <v>19718</v>
      </c>
    </row>
    <row r="72" spans="1:6" ht="15">
      <c r="A72" s="196">
        <v>268</v>
      </c>
      <c r="B72" s="196" t="s">
        <v>469</v>
      </c>
      <c r="C72" s="196" t="s">
        <v>470</v>
      </c>
      <c r="D72" s="196" t="s">
        <v>339</v>
      </c>
      <c r="E72" s="197">
        <v>42217</v>
      </c>
      <c r="F72" s="196">
        <v>19932</v>
      </c>
    </row>
    <row r="73" spans="1:6" ht="15">
      <c r="A73" s="196">
        <v>60</v>
      </c>
      <c r="B73" s="196" t="s">
        <v>467</v>
      </c>
      <c r="C73" s="196" t="s">
        <v>470</v>
      </c>
      <c r="D73" s="196" t="s">
        <v>339</v>
      </c>
      <c r="E73" s="197">
        <v>42188</v>
      </c>
      <c r="F73" s="196">
        <v>26292</v>
      </c>
    </row>
    <row r="74" spans="1:6" ht="15">
      <c r="A74" s="196">
        <v>243</v>
      </c>
      <c r="B74" s="196" t="s">
        <v>464</v>
      </c>
      <c r="C74" s="196" t="s">
        <v>463</v>
      </c>
      <c r="D74" s="196" t="s">
        <v>339</v>
      </c>
      <c r="E74" s="197">
        <v>42141</v>
      </c>
      <c r="F74" s="196">
        <v>25167</v>
      </c>
    </row>
    <row r="75" spans="1:6" ht="15">
      <c r="A75" s="196">
        <v>288</v>
      </c>
      <c r="B75" s="196" t="s">
        <v>473</v>
      </c>
      <c r="C75" s="196" t="s">
        <v>470</v>
      </c>
      <c r="D75" s="196" t="s">
        <v>339</v>
      </c>
      <c r="E75" s="197">
        <v>42114</v>
      </c>
      <c r="F75" s="196">
        <v>1069</v>
      </c>
    </row>
    <row r="76" spans="1:6" ht="15">
      <c r="A76" s="196">
        <v>72</v>
      </c>
      <c r="B76" s="196" t="s">
        <v>462</v>
      </c>
      <c r="C76" s="196" t="s">
        <v>470</v>
      </c>
      <c r="D76" s="196" t="s">
        <v>339</v>
      </c>
      <c r="E76" s="197">
        <v>42092</v>
      </c>
      <c r="F76" s="196">
        <v>12306</v>
      </c>
    </row>
    <row r="77" spans="1:6" ht="15">
      <c r="A77" s="196">
        <v>118</v>
      </c>
      <c r="B77" s="196" t="s">
        <v>471</v>
      </c>
      <c r="C77" s="196" t="s">
        <v>470</v>
      </c>
      <c r="D77" s="196" t="s">
        <v>339</v>
      </c>
      <c r="E77" s="197">
        <v>42092</v>
      </c>
      <c r="F77" s="196">
        <v>2713</v>
      </c>
    </row>
    <row r="78" spans="1:6" ht="15">
      <c r="A78" s="196">
        <v>93</v>
      </c>
      <c r="B78" s="196" t="s">
        <v>467</v>
      </c>
      <c r="C78" s="196" t="s">
        <v>463</v>
      </c>
      <c r="D78" s="196" t="s">
        <v>339</v>
      </c>
      <c r="E78" s="197">
        <v>42079</v>
      </c>
      <c r="F78" s="196">
        <v>9493</v>
      </c>
    </row>
    <row r="79" spans="1:6" ht="15">
      <c r="A79" s="196">
        <v>205</v>
      </c>
      <c r="B79" s="196" t="s">
        <v>473</v>
      </c>
      <c r="C79" s="196" t="s">
        <v>463</v>
      </c>
      <c r="D79" s="196" t="s">
        <v>339</v>
      </c>
      <c r="E79" s="197">
        <v>42077</v>
      </c>
      <c r="F79" s="196">
        <v>167</v>
      </c>
    </row>
    <row r="80" spans="1:6" ht="15">
      <c r="A80" s="196">
        <v>198</v>
      </c>
      <c r="B80" s="196" t="s">
        <v>469</v>
      </c>
      <c r="C80" s="196" t="s">
        <v>470</v>
      </c>
      <c r="D80" s="196" t="s">
        <v>339</v>
      </c>
      <c r="E80" s="197">
        <v>42068</v>
      </c>
      <c r="F80" s="196">
        <v>26609</v>
      </c>
    </row>
    <row r="81" spans="1:6" ht="15">
      <c r="A81" s="196">
        <v>200</v>
      </c>
      <c r="B81" s="196" t="s">
        <v>467</v>
      </c>
      <c r="C81" s="196" t="s">
        <v>470</v>
      </c>
      <c r="D81" s="196" t="s">
        <v>339</v>
      </c>
      <c r="E81" s="197">
        <v>42034</v>
      </c>
      <c r="F81" s="196">
        <v>15430</v>
      </c>
    </row>
    <row r="82" spans="1:6" ht="15">
      <c r="A82" s="196">
        <v>14</v>
      </c>
      <c r="B82" s="196" t="s">
        <v>464</v>
      </c>
      <c r="C82" s="196" t="s">
        <v>470</v>
      </c>
      <c r="D82" s="196" t="s">
        <v>339</v>
      </c>
      <c r="E82" s="197">
        <v>42003</v>
      </c>
      <c r="F82" s="196">
        <v>5909</v>
      </c>
    </row>
    <row r="83" spans="1:6" ht="15">
      <c r="A83" s="196">
        <v>120</v>
      </c>
      <c r="B83" s="196" t="s">
        <v>473</v>
      </c>
      <c r="C83" s="196" t="s">
        <v>470</v>
      </c>
      <c r="D83" s="196" t="s">
        <v>339</v>
      </c>
      <c r="E83" s="197">
        <v>41982</v>
      </c>
      <c r="F83" s="196">
        <v>19449</v>
      </c>
    </row>
    <row r="84" spans="1:6" ht="15">
      <c r="A84" s="196">
        <v>185</v>
      </c>
      <c r="B84" s="196" t="s">
        <v>471</v>
      </c>
      <c r="C84" s="196" t="s">
        <v>470</v>
      </c>
      <c r="D84" s="196" t="s">
        <v>339</v>
      </c>
      <c r="E84" s="197">
        <v>41955</v>
      </c>
      <c r="F84" s="196">
        <v>19449</v>
      </c>
    </row>
    <row r="85" spans="1:6" ht="15">
      <c r="A85" s="196">
        <v>278</v>
      </c>
      <c r="B85" s="196" t="s">
        <v>462</v>
      </c>
      <c r="C85" s="196" t="s">
        <v>470</v>
      </c>
      <c r="D85" s="196" t="s">
        <v>339</v>
      </c>
      <c r="E85" s="197">
        <v>41942</v>
      </c>
      <c r="F85" s="196">
        <v>24624</v>
      </c>
    </row>
    <row r="86" spans="1:6" ht="15">
      <c r="A86" s="196">
        <v>210</v>
      </c>
      <c r="B86" s="196" t="s">
        <v>467</v>
      </c>
      <c r="C86" s="196" t="s">
        <v>470</v>
      </c>
      <c r="D86" s="196" t="s">
        <v>350</v>
      </c>
      <c r="E86" s="197">
        <v>42829</v>
      </c>
      <c r="F86" s="196">
        <v>11553</v>
      </c>
    </row>
    <row r="87" spans="1:6" ht="15">
      <c r="A87" s="196">
        <v>23</v>
      </c>
      <c r="B87" s="196" t="s">
        <v>464</v>
      </c>
      <c r="C87" s="196" t="s">
        <v>465</v>
      </c>
      <c r="D87" s="196" t="s">
        <v>350</v>
      </c>
      <c r="E87" s="197">
        <v>42805</v>
      </c>
      <c r="F87" s="196">
        <v>25914</v>
      </c>
    </row>
    <row r="88" spans="1:6" ht="15">
      <c r="A88" s="196">
        <v>222</v>
      </c>
      <c r="B88" s="196" t="s">
        <v>462</v>
      </c>
      <c r="C88" s="196" t="s">
        <v>465</v>
      </c>
      <c r="D88" s="196" t="s">
        <v>350</v>
      </c>
      <c r="E88" s="197">
        <v>42799</v>
      </c>
      <c r="F88" s="196">
        <v>2330</v>
      </c>
    </row>
    <row r="89" spans="1:6" ht="15">
      <c r="A89" s="196">
        <v>95</v>
      </c>
      <c r="B89" s="196" t="s">
        <v>467</v>
      </c>
      <c r="C89" s="196" t="s">
        <v>465</v>
      </c>
      <c r="D89" s="196" t="s">
        <v>350</v>
      </c>
      <c r="E89" s="197">
        <v>42764</v>
      </c>
      <c r="F89" s="196">
        <v>5362</v>
      </c>
    </row>
    <row r="90" spans="1:6" ht="15">
      <c r="A90" s="196">
        <v>241</v>
      </c>
      <c r="B90" s="196" t="s">
        <v>467</v>
      </c>
      <c r="C90" s="196" t="s">
        <v>465</v>
      </c>
      <c r="D90" s="196" t="s">
        <v>350</v>
      </c>
      <c r="E90" s="197">
        <v>42702</v>
      </c>
      <c r="F90" s="196">
        <v>15290</v>
      </c>
    </row>
    <row r="91" spans="1:6" ht="15">
      <c r="A91" s="196">
        <v>232</v>
      </c>
      <c r="B91" s="196" t="s">
        <v>471</v>
      </c>
      <c r="C91" s="196" t="s">
        <v>465</v>
      </c>
      <c r="D91" s="196" t="s">
        <v>350</v>
      </c>
      <c r="E91" s="197">
        <v>42701</v>
      </c>
      <c r="F91" s="196">
        <v>2949</v>
      </c>
    </row>
    <row r="92" spans="1:6" ht="15">
      <c r="A92" s="196">
        <v>103</v>
      </c>
      <c r="B92" s="196" t="s">
        <v>473</v>
      </c>
      <c r="C92" s="196" t="s">
        <v>470</v>
      </c>
      <c r="D92" s="196" t="s">
        <v>350</v>
      </c>
      <c r="E92" s="197">
        <v>42673</v>
      </c>
      <c r="F92" s="196">
        <v>1855</v>
      </c>
    </row>
    <row r="93" spans="1:6" ht="15">
      <c r="A93" s="196">
        <v>272</v>
      </c>
      <c r="B93" s="196" t="s">
        <v>464</v>
      </c>
      <c r="C93" s="196" t="s">
        <v>470</v>
      </c>
      <c r="D93" s="196" t="s">
        <v>350</v>
      </c>
      <c r="E93" s="197">
        <v>42671</v>
      </c>
      <c r="F93" s="196">
        <v>6942</v>
      </c>
    </row>
    <row r="94" spans="1:6" ht="15">
      <c r="A94" s="196">
        <v>178</v>
      </c>
      <c r="B94" s="196" t="s">
        <v>469</v>
      </c>
      <c r="C94" s="196" t="s">
        <v>465</v>
      </c>
      <c r="D94" s="196" t="s">
        <v>350</v>
      </c>
      <c r="E94" s="197">
        <v>42601</v>
      </c>
      <c r="F94" s="196">
        <v>1364</v>
      </c>
    </row>
    <row r="95" spans="1:6" ht="15">
      <c r="A95" s="196">
        <v>139</v>
      </c>
      <c r="B95" s="196" t="s">
        <v>469</v>
      </c>
      <c r="C95" s="196" t="s">
        <v>470</v>
      </c>
      <c r="D95" s="196" t="s">
        <v>350</v>
      </c>
      <c r="E95" s="197">
        <v>42541</v>
      </c>
      <c r="F95" s="196">
        <v>4562</v>
      </c>
    </row>
    <row r="96" spans="1:6" ht="15">
      <c r="A96" s="196">
        <v>179</v>
      </c>
      <c r="B96" s="196" t="s">
        <v>473</v>
      </c>
      <c r="C96" s="196" t="s">
        <v>465</v>
      </c>
      <c r="D96" s="196" t="s">
        <v>350</v>
      </c>
      <c r="E96" s="197">
        <v>42527</v>
      </c>
      <c r="F96" s="196">
        <v>2949</v>
      </c>
    </row>
    <row r="97" spans="1:6" ht="15">
      <c r="A97" s="196">
        <v>219</v>
      </c>
      <c r="B97" s="196" t="s">
        <v>462</v>
      </c>
      <c r="C97" s="196" t="s">
        <v>470</v>
      </c>
      <c r="D97" s="196" t="s">
        <v>350</v>
      </c>
      <c r="E97" s="197">
        <v>42507</v>
      </c>
      <c r="F97" s="196">
        <v>5541</v>
      </c>
    </row>
    <row r="98" spans="1:6" ht="15">
      <c r="A98" s="196">
        <v>119</v>
      </c>
      <c r="B98" s="196" t="s">
        <v>471</v>
      </c>
      <c r="C98" s="196" t="s">
        <v>470</v>
      </c>
      <c r="D98" s="196" t="s">
        <v>350</v>
      </c>
      <c r="E98" s="197">
        <v>42471</v>
      </c>
      <c r="F98" s="196">
        <v>1855</v>
      </c>
    </row>
    <row r="99" spans="1:6" ht="15">
      <c r="A99" s="196">
        <v>108</v>
      </c>
      <c r="B99" s="196" t="s">
        <v>473</v>
      </c>
      <c r="C99" s="196" t="s">
        <v>465</v>
      </c>
      <c r="D99" s="196" t="s">
        <v>350</v>
      </c>
      <c r="E99" s="197">
        <v>42280</v>
      </c>
      <c r="F99" s="196">
        <v>2757</v>
      </c>
    </row>
    <row r="100" spans="1:6" ht="15">
      <c r="A100" s="196">
        <v>172</v>
      </c>
      <c r="B100" s="196" t="s">
        <v>471</v>
      </c>
      <c r="C100" s="196" t="s">
        <v>465</v>
      </c>
      <c r="D100" s="196" t="s">
        <v>350</v>
      </c>
      <c r="E100" s="197">
        <v>42234</v>
      </c>
      <c r="F100" s="196">
        <v>2757</v>
      </c>
    </row>
    <row r="101" spans="1:6" ht="15">
      <c r="A101" s="196">
        <v>270</v>
      </c>
      <c r="B101" s="196" t="s">
        <v>469</v>
      </c>
      <c r="C101" s="196" t="s">
        <v>465</v>
      </c>
      <c r="D101" s="196" t="s">
        <v>350</v>
      </c>
      <c r="E101" s="197">
        <v>42229</v>
      </c>
      <c r="F101" s="196">
        <v>20789</v>
      </c>
    </row>
    <row r="102" spans="1:6" ht="15">
      <c r="A102" s="196">
        <v>86</v>
      </c>
      <c r="B102" s="196" t="s">
        <v>462</v>
      </c>
      <c r="C102" s="196" t="s">
        <v>465</v>
      </c>
      <c r="D102" s="196" t="s">
        <v>350</v>
      </c>
      <c r="E102" s="197">
        <v>42218</v>
      </c>
      <c r="F102" s="196">
        <v>22843</v>
      </c>
    </row>
    <row r="103" spans="1:6" ht="15">
      <c r="A103" s="196">
        <v>140</v>
      </c>
      <c r="B103" s="196" t="s">
        <v>464</v>
      </c>
      <c r="C103" s="196" t="s">
        <v>465</v>
      </c>
      <c r="D103" s="196" t="s">
        <v>350</v>
      </c>
      <c r="E103" s="197">
        <v>42146</v>
      </c>
      <c r="F103" s="196">
        <v>23050</v>
      </c>
    </row>
    <row r="104" spans="1:6" customFormat="1" ht="15">
      <c r="A104" s="196">
        <v>192</v>
      </c>
      <c r="B104" s="196" t="s">
        <v>462</v>
      </c>
      <c r="C104" s="196" t="s">
        <v>468</v>
      </c>
      <c r="D104" s="196" t="s">
        <v>346</v>
      </c>
      <c r="E104" s="197">
        <v>42820</v>
      </c>
      <c r="F104" s="196">
        <v>5685</v>
      </c>
    </row>
    <row r="105" spans="1:6" customFormat="1" ht="15">
      <c r="A105" s="196">
        <v>130</v>
      </c>
      <c r="B105" s="196" t="s">
        <v>462</v>
      </c>
      <c r="C105" s="196" t="s">
        <v>470</v>
      </c>
      <c r="D105" s="196" t="s">
        <v>346</v>
      </c>
      <c r="E105" s="197">
        <v>42773</v>
      </c>
      <c r="F105" s="196">
        <v>9664</v>
      </c>
    </row>
    <row r="106" spans="1:6" customFormat="1" ht="15">
      <c r="A106" s="196">
        <v>92</v>
      </c>
      <c r="B106" s="196" t="s">
        <v>473</v>
      </c>
      <c r="C106" s="196" t="s">
        <v>470</v>
      </c>
      <c r="D106" s="196" t="s">
        <v>346</v>
      </c>
      <c r="E106" s="197">
        <v>42716</v>
      </c>
      <c r="F106" s="196">
        <v>5000</v>
      </c>
    </row>
    <row r="107" spans="1:6" customFormat="1" ht="15">
      <c r="A107" s="196">
        <v>231</v>
      </c>
      <c r="B107" s="196" t="s">
        <v>464</v>
      </c>
      <c r="C107" s="196" t="s">
        <v>463</v>
      </c>
      <c r="D107" s="196" t="s">
        <v>346</v>
      </c>
      <c r="E107" s="197">
        <v>42656</v>
      </c>
      <c r="F107" s="196">
        <v>22508</v>
      </c>
    </row>
    <row r="108" spans="1:6" customFormat="1" ht="15">
      <c r="A108" s="196">
        <v>256</v>
      </c>
      <c r="B108" s="196" t="s">
        <v>467</v>
      </c>
      <c r="C108" s="196" t="s">
        <v>468</v>
      </c>
      <c r="D108" s="196" t="s">
        <v>346</v>
      </c>
      <c r="E108" s="197">
        <v>42618</v>
      </c>
      <c r="F108" s="196">
        <v>11317</v>
      </c>
    </row>
    <row r="109" spans="1:6" customFormat="1" ht="15">
      <c r="A109" s="196">
        <v>215</v>
      </c>
      <c r="B109" s="196" t="s">
        <v>471</v>
      </c>
      <c r="C109" s="196" t="s">
        <v>470</v>
      </c>
      <c r="D109" s="196" t="s">
        <v>346</v>
      </c>
      <c r="E109" s="197">
        <v>42605</v>
      </c>
      <c r="F109" s="196">
        <v>477</v>
      </c>
    </row>
    <row r="110" spans="1:6" ht="15">
      <c r="A110" s="196">
        <v>50</v>
      </c>
      <c r="B110" s="196" t="s">
        <v>469</v>
      </c>
      <c r="C110" s="196" t="s">
        <v>468</v>
      </c>
      <c r="D110" s="196" t="s">
        <v>346</v>
      </c>
      <c r="E110" s="197">
        <v>42576</v>
      </c>
      <c r="F110" s="196">
        <v>11185</v>
      </c>
    </row>
    <row r="111" spans="1:6" ht="15">
      <c r="A111" s="196">
        <v>107</v>
      </c>
      <c r="B111" s="196" t="s">
        <v>471</v>
      </c>
      <c r="C111" s="196" t="s">
        <v>468</v>
      </c>
      <c r="D111" s="196" t="s">
        <v>346</v>
      </c>
      <c r="E111" s="197">
        <v>42565</v>
      </c>
      <c r="F111" s="196">
        <v>7782</v>
      </c>
    </row>
    <row r="112" spans="1:6" ht="15">
      <c r="A112" s="196">
        <v>156</v>
      </c>
      <c r="B112" s="196" t="s">
        <v>469</v>
      </c>
      <c r="C112" s="196" t="s">
        <v>463</v>
      </c>
      <c r="D112" s="196" t="s">
        <v>346</v>
      </c>
      <c r="E112" s="197">
        <v>42554</v>
      </c>
      <c r="F112" s="196">
        <v>13486</v>
      </c>
    </row>
    <row r="113" spans="1:6" ht="15">
      <c r="A113" s="196">
        <v>126</v>
      </c>
      <c r="B113" s="196" t="s">
        <v>464</v>
      </c>
      <c r="C113" s="196" t="s">
        <v>470</v>
      </c>
      <c r="D113" s="196" t="s">
        <v>346</v>
      </c>
      <c r="E113" s="197">
        <v>42505</v>
      </c>
      <c r="F113" s="196">
        <v>13295</v>
      </c>
    </row>
    <row r="114" spans="1:6" ht="15">
      <c r="A114" s="196">
        <v>258</v>
      </c>
      <c r="B114" s="196" t="s">
        <v>467</v>
      </c>
      <c r="C114" s="196" t="s">
        <v>463</v>
      </c>
      <c r="D114" s="196" t="s">
        <v>346</v>
      </c>
      <c r="E114" s="197">
        <v>42482</v>
      </c>
      <c r="F114" s="196">
        <v>2673</v>
      </c>
    </row>
    <row r="115" spans="1:6" ht="15">
      <c r="A115" s="196">
        <v>127</v>
      </c>
      <c r="B115" s="196" t="s">
        <v>464</v>
      </c>
      <c r="C115" s="196" t="s">
        <v>468</v>
      </c>
      <c r="D115" s="196" t="s">
        <v>346</v>
      </c>
      <c r="E115" s="197">
        <v>42398</v>
      </c>
      <c r="F115" s="196">
        <v>25178</v>
      </c>
    </row>
    <row r="116" spans="1:6" ht="15">
      <c r="A116" s="196">
        <v>125</v>
      </c>
      <c r="B116" s="196" t="s">
        <v>473</v>
      </c>
      <c r="C116" s="196" t="s">
        <v>468</v>
      </c>
      <c r="D116" s="196" t="s">
        <v>346</v>
      </c>
      <c r="E116" s="197">
        <v>42397</v>
      </c>
      <c r="F116" s="196">
        <v>7782</v>
      </c>
    </row>
    <row r="117" spans="1:6" ht="15">
      <c r="A117" s="196">
        <v>16</v>
      </c>
      <c r="B117" s="196" t="s">
        <v>464</v>
      </c>
      <c r="C117" s="196" t="s">
        <v>463</v>
      </c>
      <c r="D117" s="196" t="s">
        <v>346</v>
      </c>
      <c r="E117" s="197">
        <v>42357</v>
      </c>
      <c r="F117" s="196">
        <v>29578</v>
      </c>
    </row>
    <row r="118" spans="1:6" ht="15">
      <c r="A118" s="196">
        <v>161</v>
      </c>
      <c r="B118" s="196" t="s">
        <v>469</v>
      </c>
      <c r="C118" s="196" t="s">
        <v>470</v>
      </c>
      <c r="D118" s="196" t="s">
        <v>346</v>
      </c>
      <c r="E118" s="197">
        <v>42223</v>
      </c>
      <c r="F118" s="196">
        <v>5640</v>
      </c>
    </row>
    <row r="119" spans="1:6" ht="15">
      <c r="A119" s="196">
        <v>142</v>
      </c>
      <c r="B119" s="196" t="s">
        <v>473</v>
      </c>
      <c r="C119" s="196" t="s">
        <v>463</v>
      </c>
      <c r="D119" s="196" t="s">
        <v>346</v>
      </c>
      <c r="E119" s="197">
        <v>42165</v>
      </c>
      <c r="F119" s="196">
        <v>1509</v>
      </c>
    </row>
    <row r="120" spans="1:6" ht="15">
      <c r="A120" s="196">
        <v>129</v>
      </c>
      <c r="B120" s="196" t="s">
        <v>471</v>
      </c>
      <c r="C120" s="196" t="s">
        <v>463</v>
      </c>
      <c r="D120" s="196" t="s">
        <v>346</v>
      </c>
      <c r="E120" s="197">
        <v>42163</v>
      </c>
      <c r="F120" s="196">
        <v>1509</v>
      </c>
    </row>
    <row r="121" spans="1:6" ht="15">
      <c r="A121" s="196">
        <v>266</v>
      </c>
      <c r="B121" s="196" t="s">
        <v>462</v>
      </c>
      <c r="C121" s="196" t="s">
        <v>463</v>
      </c>
      <c r="D121" s="196" t="s">
        <v>346</v>
      </c>
      <c r="E121" s="197">
        <v>42162</v>
      </c>
      <c r="F121" s="196">
        <v>11774</v>
      </c>
    </row>
    <row r="122" spans="1:6" ht="15">
      <c r="A122" s="196">
        <v>182</v>
      </c>
      <c r="B122" s="196" t="s">
        <v>473</v>
      </c>
      <c r="C122" s="196" t="s">
        <v>463</v>
      </c>
      <c r="D122" s="196" t="s">
        <v>346</v>
      </c>
      <c r="E122" s="197">
        <v>42160</v>
      </c>
      <c r="F122" s="196">
        <v>11105</v>
      </c>
    </row>
    <row r="123" spans="1:6" ht="15">
      <c r="A123" s="196">
        <v>61</v>
      </c>
      <c r="B123" s="196" t="s">
        <v>469</v>
      </c>
      <c r="C123" s="196" t="s">
        <v>463</v>
      </c>
      <c r="D123" s="196" t="s">
        <v>346</v>
      </c>
      <c r="E123" s="197">
        <v>42148</v>
      </c>
      <c r="F123" s="196">
        <v>27419</v>
      </c>
    </row>
    <row r="124" spans="1:6" ht="15">
      <c r="A124" s="196">
        <v>19</v>
      </c>
      <c r="B124" s="196" t="s">
        <v>467</v>
      </c>
      <c r="C124" s="196" t="s">
        <v>463</v>
      </c>
      <c r="D124" s="196" t="s">
        <v>346</v>
      </c>
      <c r="E124" s="197">
        <v>42113</v>
      </c>
      <c r="F124" s="196">
        <v>11685</v>
      </c>
    </row>
    <row r="125" spans="1:6" ht="15">
      <c r="A125" s="196">
        <v>78</v>
      </c>
      <c r="B125" s="196" t="s">
        <v>467</v>
      </c>
      <c r="C125" s="196" t="s">
        <v>470</v>
      </c>
      <c r="D125" s="196" t="s">
        <v>346</v>
      </c>
      <c r="E125" s="197">
        <v>42096</v>
      </c>
      <c r="F125" s="196">
        <v>8685</v>
      </c>
    </row>
    <row r="126" spans="1:6" ht="15">
      <c r="A126" s="196">
        <v>67</v>
      </c>
      <c r="B126" s="196" t="s">
        <v>471</v>
      </c>
      <c r="C126" s="196" t="s">
        <v>463</v>
      </c>
      <c r="D126" s="196" t="s">
        <v>346</v>
      </c>
      <c r="E126" s="197">
        <v>42076</v>
      </c>
      <c r="F126" s="196">
        <v>11105</v>
      </c>
    </row>
    <row r="127" spans="1:6" ht="15">
      <c r="A127" s="196">
        <v>1</v>
      </c>
      <c r="B127" s="196" t="s">
        <v>462</v>
      </c>
      <c r="C127" s="196" t="s">
        <v>463</v>
      </c>
      <c r="D127" s="196" t="s">
        <v>346</v>
      </c>
      <c r="E127" s="197">
        <v>41947</v>
      </c>
      <c r="F127" s="196">
        <v>16228</v>
      </c>
    </row>
    <row r="128" spans="1:6" ht="15">
      <c r="A128" s="196">
        <v>283</v>
      </c>
      <c r="B128" s="196" t="s">
        <v>467</v>
      </c>
      <c r="C128" s="196" t="s">
        <v>468</v>
      </c>
      <c r="D128" s="196" t="s">
        <v>472</v>
      </c>
      <c r="E128" s="197">
        <v>42730</v>
      </c>
      <c r="F128" s="196">
        <v>2796</v>
      </c>
    </row>
    <row r="129" spans="1:6" ht="15">
      <c r="A129" s="196">
        <v>85</v>
      </c>
      <c r="B129" s="196" t="s">
        <v>462</v>
      </c>
      <c r="C129" s="196" t="s">
        <v>468</v>
      </c>
      <c r="D129" s="196" t="s">
        <v>472</v>
      </c>
      <c r="E129" s="197">
        <v>42728</v>
      </c>
      <c r="F129" s="196">
        <v>23609</v>
      </c>
    </row>
    <row r="130" spans="1:6" ht="15">
      <c r="A130" s="196">
        <v>275</v>
      </c>
      <c r="B130" s="196" t="s">
        <v>462</v>
      </c>
      <c r="C130" s="196" t="s">
        <v>463</v>
      </c>
      <c r="D130" s="196" t="s">
        <v>472</v>
      </c>
      <c r="E130" s="197">
        <v>42728</v>
      </c>
      <c r="F130" s="196">
        <v>20811</v>
      </c>
    </row>
    <row r="131" spans="1:6" ht="15">
      <c r="A131" s="196">
        <v>83</v>
      </c>
      <c r="B131" s="196" t="s">
        <v>473</v>
      </c>
      <c r="C131" s="196" t="s">
        <v>463</v>
      </c>
      <c r="D131" s="196" t="s">
        <v>472</v>
      </c>
      <c r="E131" s="197">
        <v>42695</v>
      </c>
      <c r="F131" s="196">
        <v>5140</v>
      </c>
    </row>
    <row r="132" spans="1:6" ht="15">
      <c r="A132" s="196">
        <v>186</v>
      </c>
      <c r="B132" s="196" t="s">
        <v>473</v>
      </c>
      <c r="C132" s="196" t="s">
        <v>468</v>
      </c>
      <c r="D132" s="196" t="s">
        <v>472</v>
      </c>
      <c r="E132" s="197">
        <v>42557</v>
      </c>
      <c r="F132" s="196">
        <v>1801</v>
      </c>
    </row>
    <row r="133" spans="1:6" ht="15">
      <c r="A133" s="196">
        <v>24</v>
      </c>
      <c r="B133" s="196" t="s">
        <v>471</v>
      </c>
      <c r="C133" s="196" t="s">
        <v>468</v>
      </c>
      <c r="D133" s="196" t="s">
        <v>472</v>
      </c>
      <c r="E133" s="197">
        <v>42480</v>
      </c>
      <c r="F133" s="196">
        <v>1801</v>
      </c>
    </row>
    <row r="134" spans="1:6" ht="15">
      <c r="A134" s="196">
        <v>69</v>
      </c>
      <c r="B134" s="196" t="s">
        <v>469</v>
      </c>
      <c r="C134" s="196" t="s">
        <v>463</v>
      </c>
      <c r="D134" s="196" t="s">
        <v>472</v>
      </c>
      <c r="E134" s="197">
        <v>42442</v>
      </c>
      <c r="F134" s="196">
        <v>22611</v>
      </c>
    </row>
    <row r="135" spans="1:6" ht="15">
      <c r="A135" s="196">
        <v>104</v>
      </c>
      <c r="B135" s="196" t="s">
        <v>473</v>
      </c>
      <c r="C135" s="196" t="s">
        <v>468</v>
      </c>
      <c r="D135" s="196" t="s">
        <v>472</v>
      </c>
      <c r="E135" s="197">
        <v>42414</v>
      </c>
      <c r="F135" s="196">
        <v>13587</v>
      </c>
    </row>
    <row r="136" spans="1:6" ht="15">
      <c r="A136" s="196">
        <v>52</v>
      </c>
      <c r="B136" s="196" t="s">
        <v>464</v>
      </c>
      <c r="C136" s="196" t="s">
        <v>463</v>
      </c>
      <c r="D136" s="196" t="s">
        <v>472</v>
      </c>
      <c r="E136" s="197">
        <v>42376</v>
      </c>
      <c r="F136" s="196">
        <v>22813</v>
      </c>
    </row>
    <row r="137" spans="1:6" ht="15">
      <c r="A137" s="196">
        <v>274</v>
      </c>
      <c r="B137" s="196" t="s">
        <v>469</v>
      </c>
      <c r="C137" s="196" t="s">
        <v>468</v>
      </c>
      <c r="D137" s="196" t="s">
        <v>472</v>
      </c>
      <c r="E137" s="197">
        <v>42291</v>
      </c>
      <c r="F137" s="196">
        <v>12166</v>
      </c>
    </row>
    <row r="138" spans="1:6" ht="15">
      <c r="A138" s="196">
        <v>181</v>
      </c>
      <c r="B138" s="196" t="s">
        <v>471</v>
      </c>
      <c r="C138" s="196" t="s">
        <v>468</v>
      </c>
      <c r="D138" s="196" t="s">
        <v>472</v>
      </c>
      <c r="E138" s="197">
        <v>42219</v>
      </c>
      <c r="F138" s="196">
        <v>13587</v>
      </c>
    </row>
    <row r="139" spans="1:6" ht="15">
      <c r="A139" s="196">
        <v>217</v>
      </c>
      <c r="B139" s="196" t="s">
        <v>464</v>
      </c>
      <c r="C139" s="196" t="s">
        <v>468</v>
      </c>
      <c r="D139" s="196" t="s">
        <v>472</v>
      </c>
      <c r="E139" s="197">
        <v>42206</v>
      </c>
      <c r="F139" s="196">
        <v>3367</v>
      </c>
    </row>
    <row r="140" spans="1:6" ht="15">
      <c r="A140" s="196">
        <v>7</v>
      </c>
      <c r="B140" s="196" t="s">
        <v>471</v>
      </c>
      <c r="C140" s="196" t="s">
        <v>463</v>
      </c>
      <c r="D140" s="196" t="s">
        <v>472</v>
      </c>
      <c r="E140" s="197">
        <v>42099</v>
      </c>
      <c r="F140" s="196">
        <v>5140</v>
      </c>
    </row>
    <row r="141" spans="1:6" ht="15">
      <c r="A141" s="196">
        <v>194</v>
      </c>
      <c r="B141" s="196" t="s">
        <v>462</v>
      </c>
      <c r="C141" s="196" t="s">
        <v>468</v>
      </c>
      <c r="D141" s="196" t="s">
        <v>472</v>
      </c>
      <c r="E141" s="197">
        <v>42036</v>
      </c>
      <c r="F141" s="196">
        <v>18664</v>
      </c>
    </row>
    <row r="142" spans="1:6" ht="15">
      <c r="A142" s="196">
        <v>207</v>
      </c>
      <c r="B142" s="196" t="s">
        <v>467</v>
      </c>
      <c r="C142" s="196" t="s">
        <v>463</v>
      </c>
      <c r="D142" s="196" t="s">
        <v>472</v>
      </c>
      <c r="E142" s="197">
        <v>42024</v>
      </c>
      <c r="F142" s="196">
        <v>10465</v>
      </c>
    </row>
    <row r="143" spans="1:6" ht="15">
      <c r="A143" s="196">
        <v>80</v>
      </c>
      <c r="B143" s="196" t="s">
        <v>464</v>
      </c>
      <c r="C143" s="196" t="s">
        <v>468</v>
      </c>
      <c r="D143" s="196" t="s">
        <v>472</v>
      </c>
      <c r="E143" s="197">
        <v>42000</v>
      </c>
      <c r="F143" s="196">
        <v>13589</v>
      </c>
    </row>
    <row r="144" spans="1:6" ht="15">
      <c r="A144" s="196">
        <v>88</v>
      </c>
      <c r="B144" s="196" t="s">
        <v>469</v>
      </c>
      <c r="C144" s="196" t="s">
        <v>468</v>
      </c>
      <c r="D144" s="196" t="s">
        <v>472</v>
      </c>
      <c r="E144" s="197">
        <v>41970</v>
      </c>
      <c r="F144" s="196">
        <v>4428</v>
      </c>
    </row>
    <row r="145" spans="1:6" ht="15">
      <c r="A145" s="196">
        <v>123</v>
      </c>
      <c r="B145" s="196" t="s">
        <v>467</v>
      </c>
      <c r="C145" s="196" t="s">
        <v>468</v>
      </c>
      <c r="D145" s="196" t="s">
        <v>472</v>
      </c>
      <c r="E145" s="197">
        <v>41912</v>
      </c>
      <c r="F145" s="196">
        <v>17038</v>
      </c>
    </row>
    <row r="146" spans="1:6" ht="15">
      <c r="A146" s="196">
        <v>64</v>
      </c>
      <c r="B146" s="196" t="s">
        <v>467</v>
      </c>
      <c r="C146" s="196" t="s">
        <v>465</v>
      </c>
      <c r="D146" s="196" t="s">
        <v>479</v>
      </c>
      <c r="E146" s="197">
        <v>42897</v>
      </c>
      <c r="F146" s="196">
        <v>2920</v>
      </c>
    </row>
    <row r="147" spans="1:6" ht="15">
      <c r="A147" s="196">
        <v>32</v>
      </c>
      <c r="B147" s="196" t="s">
        <v>473</v>
      </c>
      <c r="C147" s="196" t="s">
        <v>465</v>
      </c>
      <c r="D147" s="196" t="s">
        <v>479</v>
      </c>
      <c r="E147" s="197">
        <v>42844</v>
      </c>
      <c r="F147" s="196">
        <v>6398</v>
      </c>
    </row>
    <row r="148" spans="1:6" ht="15">
      <c r="A148" s="196">
        <v>170</v>
      </c>
      <c r="B148" s="196" t="s">
        <v>469</v>
      </c>
      <c r="C148" s="196" t="s">
        <v>465</v>
      </c>
      <c r="D148" s="196" t="s">
        <v>479</v>
      </c>
      <c r="E148" s="197">
        <v>42761</v>
      </c>
      <c r="F148" s="196">
        <v>22424</v>
      </c>
    </row>
    <row r="149" spans="1:6" ht="15">
      <c r="A149" s="196">
        <v>204</v>
      </c>
      <c r="B149" s="196" t="s">
        <v>469</v>
      </c>
      <c r="C149" s="196" t="s">
        <v>465</v>
      </c>
      <c r="D149" s="196" t="s">
        <v>479</v>
      </c>
      <c r="E149" s="197">
        <v>42761</v>
      </c>
      <c r="F149" s="196">
        <v>7738</v>
      </c>
    </row>
    <row r="150" spans="1:6" ht="15">
      <c r="A150" s="196">
        <v>188</v>
      </c>
      <c r="B150" s="196" t="s">
        <v>462</v>
      </c>
      <c r="C150" s="196" t="s">
        <v>465</v>
      </c>
      <c r="D150" s="196" t="s">
        <v>479</v>
      </c>
      <c r="E150" s="197">
        <v>42746</v>
      </c>
      <c r="F150" s="196">
        <v>10570</v>
      </c>
    </row>
    <row r="151" spans="1:6" ht="15">
      <c r="A151" s="196">
        <v>62</v>
      </c>
      <c r="B151" s="196" t="s">
        <v>467</v>
      </c>
      <c r="C151" s="196" t="s">
        <v>468</v>
      </c>
      <c r="D151" s="196" t="s">
        <v>479</v>
      </c>
      <c r="E151" s="197">
        <v>42718</v>
      </c>
      <c r="F151" s="196">
        <v>22078</v>
      </c>
    </row>
    <row r="152" spans="1:6" ht="15">
      <c r="A152" s="196">
        <v>160</v>
      </c>
      <c r="B152" s="196" t="s">
        <v>462</v>
      </c>
      <c r="C152" s="196" t="s">
        <v>468</v>
      </c>
      <c r="D152" s="196" t="s">
        <v>479</v>
      </c>
      <c r="E152" s="197">
        <v>42633</v>
      </c>
      <c r="F152" s="196">
        <v>21951</v>
      </c>
    </row>
    <row r="153" spans="1:6" ht="15">
      <c r="A153" s="196">
        <v>284</v>
      </c>
      <c r="B153" s="196" t="s">
        <v>471</v>
      </c>
      <c r="C153" s="196" t="s">
        <v>468</v>
      </c>
      <c r="D153" s="196" t="s">
        <v>479</v>
      </c>
      <c r="E153" s="197">
        <v>42536</v>
      </c>
      <c r="F153" s="196">
        <v>5129</v>
      </c>
    </row>
    <row r="154" spans="1:6" ht="15">
      <c r="A154" s="196">
        <v>37</v>
      </c>
      <c r="B154" s="196" t="s">
        <v>467</v>
      </c>
      <c r="C154" s="196" t="s">
        <v>465</v>
      </c>
      <c r="D154" s="196" t="s">
        <v>479</v>
      </c>
      <c r="E154" s="197">
        <v>42486</v>
      </c>
      <c r="F154" s="196">
        <v>12607</v>
      </c>
    </row>
    <row r="155" spans="1:6" ht="15">
      <c r="A155" s="196">
        <v>228</v>
      </c>
      <c r="B155" s="196" t="s">
        <v>469</v>
      </c>
      <c r="C155" s="196" t="s">
        <v>468</v>
      </c>
      <c r="D155" s="196" t="s">
        <v>479</v>
      </c>
      <c r="E155" s="197">
        <v>42351</v>
      </c>
      <c r="F155" s="196">
        <v>13534</v>
      </c>
    </row>
    <row r="156" spans="1:6" ht="15">
      <c r="A156" s="196">
        <v>70</v>
      </c>
      <c r="B156" s="196" t="s">
        <v>473</v>
      </c>
      <c r="C156" s="196" t="s">
        <v>465</v>
      </c>
      <c r="D156" s="196" t="s">
        <v>479</v>
      </c>
      <c r="E156" s="197">
        <v>42260</v>
      </c>
      <c r="F156" s="196">
        <v>4474</v>
      </c>
    </row>
    <row r="157" spans="1:6" ht="15">
      <c r="A157" s="196">
        <v>180</v>
      </c>
      <c r="B157" s="196" t="s">
        <v>464</v>
      </c>
      <c r="C157" s="196" t="s">
        <v>465</v>
      </c>
      <c r="D157" s="196" t="s">
        <v>479</v>
      </c>
      <c r="E157" s="197">
        <v>42241</v>
      </c>
      <c r="F157" s="196">
        <v>15362</v>
      </c>
    </row>
    <row r="158" spans="1:6" ht="15">
      <c r="A158" s="196">
        <v>162</v>
      </c>
      <c r="B158" s="196" t="s">
        <v>471</v>
      </c>
      <c r="C158" s="196" t="s">
        <v>465</v>
      </c>
      <c r="D158" s="196" t="s">
        <v>479</v>
      </c>
      <c r="E158" s="197">
        <v>42231</v>
      </c>
      <c r="F158" s="196">
        <v>4474</v>
      </c>
    </row>
    <row r="159" spans="1:6" ht="15">
      <c r="A159" s="196">
        <v>59</v>
      </c>
      <c r="B159" s="196" t="s">
        <v>471</v>
      </c>
      <c r="C159" s="196" t="s">
        <v>465</v>
      </c>
      <c r="D159" s="196" t="s">
        <v>479</v>
      </c>
      <c r="E159" s="197">
        <v>42153</v>
      </c>
      <c r="F159" s="196">
        <v>6398</v>
      </c>
    </row>
    <row r="160" spans="1:6" ht="15">
      <c r="A160" s="196">
        <v>206</v>
      </c>
      <c r="B160" s="196" t="s">
        <v>464</v>
      </c>
      <c r="C160" s="196" t="s">
        <v>468</v>
      </c>
      <c r="D160" s="196" t="s">
        <v>479</v>
      </c>
      <c r="E160" s="197">
        <v>42017</v>
      </c>
      <c r="F160" s="196">
        <v>28716</v>
      </c>
    </row>
    <row r="161" spans="1:6" ht="15">
      <c r="A161" s="196">
        <v>43</v>
      </c>
      <c r="B161" s="196" t="s">
        <v>462</v>
      </c>
      <c r="C161" s="196" t="s">
        <v>465</v>
      </c>
      <c r="D161" s="196" t="s">
        <v>479</v>
      </c>
      <c r="E161" s="197">
        <v>41977</v>
      </c>
      <c r="F161" s="196">
        <v>14359</v>
      </c>
    </row>
    <row r="162" spans="1:6" ht="15">
      <c r="A162" s="196">
        <v>121</v>
      </c>
      <c r="B162" s="196" t="s">
        <v>464</v>
      </c>
      <c r="C162" s="196" t="s">
        <v>465</v>
      </c>
      <c r="D162" s="196" t="s">
        <v>479</v>
      </c>
      <c r="E162" s="197">
        <v>41950</v>
      </c>
      <c r="F162" s="196">
        <v>15019</v>
      </c>
    </row>
    <row r="163" spans="1:6" ht="15">
      <c r="A163" s="196">
        <v>201</v>
      </c>
      <c r="B163" s="196" t="s">
        <v>473</v>
      </c>
      <c r="C163" s="196" t="s">
        <v>468</v>
      </c>
      <c r="D163" s="196" t="s">
        <v>479</v>
      </c>
      <c r="E163" s="197">
        <v>41934</v>
      </c>
      <c r="F163" s="196">
        <v>5129</v>
      </c>
    </row>
    <row r="164" spans="1:6" ht="15">
      <c r="A164" s="196">
        <v>250</v>
      </c>
      <c r="B164" s="196" t="s">
        <v>467</v>
      </c>
      <c r="C164" s="196" t="s">
        <v>470</v>
      </c>
      <c r="D164" s="196" t="s">
        <v>480</v>
      </c>
      <c r="E164" s="197">
        <v>42779</v>
      </c>
      <c r="F164" s="196">
        <v>10402</v>
      </c>
    </row>
    <row r="165" spans="1:6" ht="15">
      <c r="A165" s="196">
        <v>239</v>
      </c>
      <c r="B165" s="196" t="s">
        <v>469</v>
      </c>
      <c r="C165" s="196" t="s">
        <v>468</v>
      </c>
      <c r="D165" s="196" t="s">
        <v>480</v>
      </c>
      <c r="E165" s="197">
        <v>42719</v>
      </c>
      <c r="F165" s="196">
        <v>16357</v>
      </c>
    </row>
    <row r="166" spans="1:6" ht="15">
      <c r="A166" s="196">
        <v>145</v>
      </c>
      <c r="B166" s="196" t="s">
        <v>464</v>
      </c>
      <c r="C166" s="196" t="s">
        <v>468</v>
      </c>
      <c r="D166" s="196" t="s">
        <v>480</v>
      </c>
      <c r="E166" s="197">
        <v>42691</v>
      </c>
      <c r="F166" s="196">
        <v>11832</v>
      </c>
    </row>
    <row r="167" spans="1:6" ht="15">
      <c r="A167" s="196">
        <v>237</v>
      </c>
      <c r="B167" s="196" t="s">
        <v>464</v>
      </c>
      <c r="C167" s="196" t="s">
        <v>470</v>
      </c>
      <c r="D167" s="196" t="s">
        <v>480</v>
      </c>
      <c r="E167" s="197">
        <v>42646</v>
      </c>
      <c r="F167" s="196">
        <v>19161</v>
      </c>
    </row>
    <row r="168" spans="1:6" ht="15">
      <c r="A168" s="196">
        <v>105</v>
      </c>
      <c r="B168" s="196" t="s">
        <v>473</v>
      </c>
      <c r="C168" s="196" t="s">
        <v>468</v>
      </c>
      <c r="D168" s="196" t="s">
        <v>480</v>
      </c>
      <c r="E168" s="197">
        <v>42619</v>
      </c>
      <c r="F168" s="196">
        <v>8043</v>
      </c>
    </row>
    <row r="169" spans="1:6" ht="15">
      <c r="A169" s="196">
        <v>168</v>
      </c>
      <c r="B169" s="196" t="s">
        <v>462</v>
      </c>
      <c r="C169" s="196" t="s">
        <v>468</v>
      </c>
      <c r="D169" s="196" t="s">
        <v>480</v>
      </c>
      <c r="E169" s="197">
        <v>42490</v>
      </c>
      <c r="F169" s="196">
        <v>18556</v>
      </c>
    </row>
    <row r="170" spans="1:6" ht="15">
      <c r="A170" s="196">
        <v>218</v>
      </c>
      <c r="B170" s="196" t="s">
        <v>464</v>
      </c>
      <c r="C170" s="196" t="s">
        <v>468</v>
      </c>
      <c r="D170" s="196" t="s">
        <v>480</v>
      </c>
      <c r="E170" s="197">
        <v>42371</v>
      </c>
      <c r="F170" s="196">
        <v>19570</v>
      </c>
    </row>
    <row r="171" spans="1:6" ht="15">
      <c r="A171" s="196">
        <v>171</v>
      </c>
      <c r="B171" s="196" t="s">
        <v>462</v>
      </c>
      <c r="C171" s="196" t="s">
        <v>470</v>
      </c>
      <c r="D171" s="196" t="s">
        <v>480</v>
      </c>
      <c r="E171" s="197">
        <v>42335</v>
      </c>
      <c r="F171" s="196">
        <v>16445</v>
      </c>
    </row>
    <row r="172" spans="1:6" ht="15">
      <c r="A172" s="196">
        <v>55</v>
      </c>
      <c r="B172" s="196" t="s">
        <v>471</v>
      </c>
      <c r="C172" s="196" t="s">
        <v>470</v>
      </c>
      <c r="D172" s="196" t="s">
        <v>480</v>
      </c>
      <c r="E172" s="197">
        <v>42330</v>
      </c>
      <c r="F172" s="196">
        <v>232</v>
      </c>
    </row>
    <row r="173" spans="1:6" ht="15">
      <c r="A173" s="196">
        <v>57</v>
      </c>
      <c r="B173" s="196" t="s">
        <v>471</v>
      </c>
      <c r="C173" s="196" t="s">
        <v>468</v>
      </c>
      <c r="D173" s="196" t="s">
        <v>480</v>
      </c>
      <c r="E173" s="197">
        <v>42315</v>
      </c>
      <c r="F173" s="196">
        <v>8043</v>
      </c>
    </row>
    <row r="174" spans="1:6" ht="15">
      <c r="A174" s="196">
        <v>238</v>
      </c>
      <c r="B174" s="196" t="s">
        <v>469</v>
      </c>
      <c r="C174" s="196" t="s">
        <v>470</v>
      </c>
      <c r="D174" s="196" t="s">
        <v>480</v>
      </c>
      <c r="E174" s="197">
        <v>42243</v>
      </c>
      <c r="F174" s="196">
        <v>25618</v>
      </c>
    </row>
    <row r="175" spans="1:6" ht="15">
      <c r="A175" s="196">
        <v>74</v>
      </c>
      <c r="B175" s="196" t="s">
        <v>462</v>
      </c>
      <c r="C175" s="196" t="s">
        <v>468</v>
      </c>
      <c r="D175" s="196" t="s">
        <v>480</v>
      </c>
      <c r="E175" s="197">
        <v>42224</v>
      </c>
      <c r="F175" s="196">
        <v>8074</v>
      </c>
    </row>
    <row r="176" spans="1:6" ht="15">
      <c r="A176" s="196">
        <v>76</v>
      </c>
      <c r="B176" s="196" t="s">
        <v>473</v>
      </c>
      <c r="C176" s="196" t="s">
        <v>468</v>
      </c>
      <c r="D176" s="196" t="s">
        <v>480</v>
      </c>
      <c r="E176" s="197">
        <v>42211</v>
      </c>
      <c r="F176" s="196">
        <v>3982</v>
      </c>
    </row>
    <row r="177" spans="1:6" ht="15">
      <c r="A177" s="196">
        <v>236</v>
      </c>
      <c r="B177" s="196" t="s">
        <v>471</v>
      </c>
      <c r="C177" s="196" t="s">
        <v>468</v>
      </c>
      <c r="D177" s="196" t="s">
        <v>480</v>
      </c>
      <c r="E177" s="197">
        <v>42129</v>
      </c>
      <c r="F177" s="196">
        <v>3982</v>
      </c>
    </row>
    <row r="178" spans="1:6" ht="15">
      <c r="A178" s="196">
        <v>242</v>
      </c>
      <c r="B178" s="196" t="s">
        <v>469</v>
      </c>
      <c r="C178" s="196" t="s">
        <v>468</v>
      </c>
      <c r="D178" s="196" t="s">
        <v>480</v>
      </c>
      <c r="E178" s="197">
        <v>42105</v>
      </c>
      <c r="F178" s="196">
        <v>24544</v>
      </c>
    </row>
    <row r="179" spans="1:6" ht="15">
      <c r="A179" s="196">
        <v>277</v>
      </c>
      <c r="B179" s="196" t="s">
        <v>467</v>
      </c>
      <c r="C179" s="196" t="s">
        <v>468</v>
      </c>
      <c r="D179" s="196" t="s">
        <v>480</v>
      </c>
      <c r="E179" s="197">
        <v>41963</v>
      </c>
      <c r="F179" s="196">
        <v>20571</v>
      </c>
    </row>
    <row r="180" spans="1:6" ht="15">
      <c r="A180" s="196">
        <v>44</v>
      </c>
      <c r="B180" s="196" t="s">
        <v>473</v>
      </c>
      <c r="C180" s="196" t="s">
        <v>470</v>
      </c>
      <c r="D180" s="196" t="s">
        <v>480</v>
      </c>
      <c r="E180" s="197">
        <v>41913</v>
      </c>
      <c r="F180" s="196">
        <v>232</v>
      </c>
    </row>
    <row r="181" spans="1:6" ht="15">
      <c r="A181" s="196">
        <v>132</v>
      </c>
      <c r="B181" s="196" t="s">
        <v>467</v>
      </c>
      <c r="C181" s="196" t="s">
        <v>468</v>
      </c>
      <c r="D181" s="196" t="s">
        <v>480</v>
      </c>
      <c r="E181" s="197">
        <v>41898</v>
      </c>
      <c r="F181" s="196">
        <v>12228</v>
      </c>
    </row>
    <row r="182" spans="1:6" ht="15">
      <c r="A182" s="196">
        <v>12</v>
      </c>
      <c r="B182" s="196" t="s">
        <v>464</v>
      </c>
      <c r="C182" s="196" t="s">
        <v>468</v>
      </c>
      <c r="D182" s="196" t="s">
        <v>344</v>
      </c>
      <c r="E182" s="197">
        <v>42839</v>
      </c>
      <c r="F182" s="196">
        <v>4010</v>
      </c>
    </row>
    <row r="183" spans="1:6" ht="15">
      <c r="A183" s="196">
        <v>263</v>
      </c>
      <c r="B183" s="196" t="s">
        <v>469</v>
      </c>
      <c r="C183" s="196" t="s">
        <v>470</v>
      </c>
      <c r="D183" s="196" t="s">
        <v>344</v>
      </c>
      <c r="E183" s="197">
        <v>42804</v>
      </c>
      <c r="F183" s="196">
        <v>27039</v>
      </c>
    </row>
    <row r="184" spans="1:6" ht="15">
      <c r="A184" s="196">
        <v>282</v>
      </c>
      <c r="B184" s="196" t="s">
        <v>464</v>
      </c>
      <c r="C184" s="196" t="s">
        <v>463</v>
      </c>
      <c r="D184" s="196" t="s">
        <v>344</v>
      </c>
      <c r="E184" s="197">
        <v>42790</v>
      </c>
      <c r="F184" s="196">
        <v>1568</v>
      </c>
    </row>
    <row r="185" spans="1:6" ht="15">
      <c r="A185" s="196">
        <v>190</v>
      </c>
      <c r="B185" s="196" t="s">
        <v>467</v>
      </c>
      <c r="C185" s="196" t="s">
        <v>463</v>
      </c>
      <c r="D185" s="196" t="s">
        <v>344</v>
      </c>
      <c r="E185" s="197">
        <v>42753</v>
      </c>
      <c r="F185" s="196">
        <v>18639</v>
      </c>
    </row>
    <row r="186" spans="1:6" ht="15">
      <c r="A186" s="196">
        <v>51</v>
      </c>
      <c r="B186" s="196" t="s">
        <v>473</v>
      </c>
      <c r="C186" s="196" t="s">
        <v>465</v>
      </c>
      <c r="D186" s="196" t="s">
        <v>344</v>
      </c>
      <c r="E186" s="197">
        <v>42739</v>
      </c>
      <c r="F186" s="196">
        <v>18473</v>
      </c>
    </row>
    <row r="187" spans="1:6" ht="15">
      <c r="A187" s="196">
        <v>97</v>
      </c>
      <c r="B187" s="196" t="s">
        <v>462</v>
      </c>
      <c r="C187" s="196" t="s">
        <v>463</v>
      </c>
      <c r="D187" s="196" t="s">
        <v>344</v>
      </c>
      <c r="E187" s="197">
        <v>42700</v>
      </c>
      <c r="F187" s="196">
        <v>10970</v>
      </c>
    </row>
    <row r="188" spans="1:6" ht="15">
      <c r="A188" s="196">
        <v>34</v>
      </c>
      <c r="B188" s="196" t="s">
        <v>462</v>
      </c>
      <c r="C188" s="196" t="s">
        <v>470</v>
      </c>
      <c r="D188" s="196" t="s">
        <v>344</v>
      </c>
      <c r="E188" s="197">
        <v>42591</v>
      </c>
      <c r="F188" s="196">
        <v>9449</v>
      </c>
    </row>
    <row r="189" spans="1:6" ht="15">
      <c r="A189" s="196">
        <v>40</v>
      </c>
      <c r="B189" s="196" t="s">
        <v>464</v>
      </c>
      <c r="C189" s="196" t="s">
        <v>470</v>
      </c>
      <c r="D189" s="196" t="s">
        <v>344</v>
      </c>
      <c r="E189" s="197">
        <v>42455</v>
      </c>
      <c r="F189" s="196">
        <v>15216</v>
      </c>
    </row>
    <row r="190" spans="1:6" ht="15">
      <c r="A190" s="196">
        <v>233</v>
      </c>
      <c r="B190" s="196" t="s">
        <v>464</v>
      </c>
      <c r="C190" s="196" t="s">
        <v>465</v>
      </c>
      <c r="D190" s="196" t="s">
        <v>344</v>
      </c>
      <c r="E190" s="197">
        <v>42404</v>
      </c>
      <c r="F190" s="196">
        <v>8327</v>
      </c>
    </row>
    <row r="191" spans="1:6" ht="15">
      <c r="A191" s="196">
        <v>158</v>
      </c>
      <c r="B191" s="196" t="s">
        <v>473</v>
      </c>
      <c r="C191" s="196" t="s">
        <v>468</v>
      </c>
      <c r="D191" s="196" t="s">
        <v>344</v>
      </c>
      <c r="E191" s="197">
        <v>42398</v>
      </c>
      <c r="F191" s="196">
        <v>17436</v>
      </c>
    </row>
    <row r="192" spans="1:6" ht="15">
      <c r="A192" s="196">
        <v>115</v>
      </c>
      <c r="B192" s="196" t="s">
        <v>469</v>
      </c>
      <c r="C192" s="196" t="s">
        <v>463</v>
      </c>
      <c r="D192" s="196" t="s">
        <v>344</v>
      </c>
      <c r="E192" s="197">
        <v>42393</v>
      </c>
      <c r="F192" s="196">
        <v>7538</v>
      </c>
    </row>
    <row r="193" spans="1:6" ht="15">
      <c r="A193" s="196">
        <v>267</v>
      </c>
      <c r="B193" s="196" t="s">
        <v>473</v>
      </c>
      <c r="C193" s="196" t="s">
        <v>470</v>
      </c>
      <c r="D193" s="196" t="s">
        <v>344</v>
      </c>
      <c r="E193" s="197">
        <v>42340</v>
      </c>
      <c r="F193" s="196">
        <v>1481</v>
      </c>
    </row>
    <row r="194" spans="1:6" ht="15">
      <c r="A194" s="196">
        <v>271</v>
      </c>
      <c r="B194" s="196" t="s">
        <v>471</v>
      </c>
      <c r="C194" s="196" t="s">
        <v>465</v>
      </c>
      <c r="D194" s="196" t="s">
        <v>344</v>
      </c>
      <c r="E194" s="197">
        <v>42332</v>
      </c>
      <c r="F194" s="196">
        <v>18473</v>
      </c>
    </row>
    <row r="195" spans="1:6" ht="15">
      <c r="A195" s="196">
        <v>58</v>
      </c>
      <c r="B195" s="196" t="s">
        <v>473</v>
      </c>
      <c r="C195" s="196" t="s">
        <v>463</v>
      </c>
      <c r="D195" s="196" t="s">
        <v>344</v>
      </c>
      <c r="E195" s="197">
        <v>42327</v>
      </c>
      <c r="F195" s="196">
        <v>5326</v>
      </c>
    </row>
    <row r="196" spans="1:6" ht="15">
      <c r="A196" s="196">
        <v>281</v>
      </c>
      <c r="B196" s="196" t="s">
        <v>471</v>
      </c>
      <c r="C196" s="196" t="s">
        <v>470</v>
      </c>
      <c r="D196" s="196" t="s">
        <v>344</v>
      </c>
      <c r="E196" s="197">
        <v>42319</v>
      </c>
      <c r="F196" s="196">
        <v>1481</v>
      </c>
    </row>
    <row r="197" spans="1:6" ht="15">
      <c r="A197" s="196">
        <v>4</v>
      </c>
      <c r="B197" s="196" t="s">
        <v>467</v>
      </c>
      <c r="C197" s="196" t="s">
        <v>468</v>
      </c>
      <c r="D197" s="196" t="s">
        <v>344</v>
      </c>
      <c r="E197" s="197">
        <v>42312</v>
      </c>
      <c r="F197" s="196">
        <v>20537</v>
      </c>
    </row>
    <row r="198" spans="1:6" ht="15">
      <c r="A198" s="196">
        <v>203</v>
      </c>
      <c r="B198" s="196" t="s">
        <v>471</v>
      </c>
      <c r="C198" s="196" t="s">
        <v>468</v>
      </c>
      <c r="D198" s="196" t="s">
        <v>344</v>
      </c>
      <c r="E198" s="197">
        <v>42301</v>
      </c>
      <c r="F198" s="196">
        <v>17436</v>
      </c>
    </row>
    <row r="199" spans="1:6" ht="15">
      <c r="A199" s="196">
        <v>154</v>
      </c>
      <c r="B199" s="196" t="s">
        <v>471</v>
      </c>
      <c r="C199" s="196" t="s">
        <v>463</v>
      </c>
      <c r="D199" s="196" t="s">
        <v>344</v>
      </c>
      <c r="E199" s="197">
        <v>42269</v>
      </c>
      <c r="F199" s="196">
        <v>5326</v>
      </c>
    </row>
    <row r="200" spans="1:6" ht="15">
      <c r="A200" s="196">
        <v>6</v>
      </c>
      <c r="B200" s="196" t="s">
        <v>469</v>
      </c>
      <c r="C200" s="196" t="s">
        <v>468</v>
      </c>
      <c r="D200" s="196" t="s">
        <v>344</v>
      </c>
      <c r="E200" s="197">
        <v>42259</v>
      </c>
      <c r="F200" s="196">
        <v>13927</v>
      </c>
    </row>
    <row r="201" spans="1:6" ht="15">
      <c r="A201" s="196">
        <v>254</v>
      </c>
      <c r="B201" s="196" t="s">
        <v>462</v>
      </c>
      <c r="C201" s="196" t="s">
        <v>465</v>
      </c>
      <c r="D201" s="196" t="s">
        <v>344</v>
      </c>
      <c r="E201" s="197">
        <v>42210</v>
      </c>
      <c r="F201" s="196">
        <v>21205</v>
      </c>
    </row>
    <row r="202" spans="1:6" ht="15">
      <c r="A202" s="196">
        <v>224</v>
      </c>
      <c r="B202" s="196" t="s">
        <v>462</v>
      </c>
      <c r="C202" s="196" t="s">
        <v>468</v>
      </c>
      <c r="D202" s="196" t="s">
        <v>344</v>
      </c>
      <c r="E202" s="197">
        <v>42192</v>
      </c>
      <c r="F202" s="196">
        <v>22266</v>
      </c>
    </row>
    <row r="203" spans="1:6" ht="15">
      <c r="A203" s="196">
        <v>138</v>
      </c>
      <c r="B203" s="196" t="s">
        <v>467</v>
      </c>
      <c r="C203" s="196" t="s">
        <v>470</v>
      </c>
      <c r="D203" s="196" t="s">
        <v>344</v>
      </c>
      <c r="E203" s="197">
        <v>42161</v>
      </c>
      <c r="F203" s="196">
        <v>12658</v>
      </c>
    </row>
    <row r="204" spans="1:6" ht="15">
      <c r="A204" s="196">
        <v>216</v>
      </c>
      <c r="B204" s="196" t="s">
        <v>469</v>
      </c>
      <c r="C204" s="196" t="s">
        <v>465</v>
      </c>
      <c r="D204" s="196" t="s">
        <v>344</v>
      </c>
      <c r="E204" s="197">
        <v>42075</v>
      </c>
      <c r="F204" s="196">
        <v>16256</v>
      </c>
    </row>
    <row r="205" spans="1:6" ht="15">
      <c r="A205" s="196">
        <v>153</v>
      </c>
      <c r="B205" s="196" t="s">
        <v>467</v>
      </c>
      <c r="C205" s="196" t="s">
        <v>465</v>
      </c>
      <c r="D205" s="196" t="s">
        <v>344</v>
      </c>
      <c r="E205" s="197">
        <v>41962</v>
      </c>
      <c r="F205" s="196">
        <v>8672</v>
      </c>
    </row>
    <row r="206" spans="1:6" ht="15">
      <c r="A206" s="196">
        <v>35</v>
      </c>
      <c r="B206" s="196" t="s">
        <v>464</v>
      </c>
      <c r="C206" s="196" t="s">
        <v>463</v>
      </c>
      <c r="D206" s="196" t="s">
        <v>466</v>
      </c>
      <c r="E206" s="197">
        <v>42869</v>
      </c>
      <c r="F206" s="196">
        <v>19181</v>
      </c>
    </row>
    <row r="207" spans="1:6" ht="15">
      <c r="A207" s="196">
        <v>3</v>
      </c>
      <c r="B207" s="196" t="s">
        <v>464</v>
      </c>
      <c r="C207" s="196" t="s">
        <v>465</v>
      </c>
      <c r="D207" s="196" t="s">
        <v>466</v>
      </c>
      <c r="E207" s="197">
        <v>42775</v>
      </c>
      <c r="F207" s="196">
        <v>19349</v>
      </c>
    </row>
    <row r="208" spans="1:6" ht="15">
      <c r="A208" s="196">
        <v>84</v>
      </c>
      <c r="B208" s="196" t="s">
        <v>464</v>
      </c>
      <c r="C208" s="196" t="s">
        <v>470</v>
      </c>
      <c r="D208" s="196" t="s">
        <v>466</v>
      </c>
      <c r="E208" s="197">
        <v>42752</v>
      </c>
      <c r="F208" s="196">
        <v>5715</v>
      </c>
    </row>
    <row r="209" spans="1:6" ht="15">
      <c r="A209" s="196">
        <v>22</v>
      </c>
      <c r="B209" s="196" t="s">
        <v>469</v>
      </c>
      <c r="C209" s="196" t="s">
        <v>463</v>
      </c>
      <c r="D209" s="196" t="s">
        <v>466</v>
      </c>
      <c r="E209" s="197">
        <v>42610</v>
      </c>
      <c r="F209" s="196">
        <v>2715</v>
      </c>
    </row>
    <row r="210" spans="1:6" ht="15">
      <c r="A210" s="196">
        <v>214</v>
      </c>
      <c r="B210" s="196" t="s">
        <v>467</v>
      </c>
      <c r="C210" s="196" t="s">
        <v>463</v>
      </c>
      <c r="D210" s="196" t="s">
        <v>466</v>
      </c>
      <c r="E210" s="197">
        <v>42571</v>
      </c>
      <c r="F210" s="196">
        <v>6950</v>
      </c>
    </row>
    <row r="211" spans="1:6" ht="15">
      <c r="A211" s="196">
        <v>146</v>
      </c>
      <c r="B211" s="196" t="s">
        <v>467</v>
      </c>
      <c r="C211" s="196" t="s">
        <v>470</v>
      </c>
      <c r="D211" s="196" t="s">
        <v>466</v>
      </c>
      <c r="E211" s="197">
        <v>42569</v>
      </c>
      <c r="F211" s="196">
        <v>8988</v>
      </c>
    </row>
    <row r="212" spans="1:6" ht="15">
      <c r="A212" s="196">
        <v>166</v>
      </c>
      <c r="B212" s="196" t="s">
        <v>462</v>
      </c>
      <c r="C212" s="196" t="s">
        <v>470</v>
      </c>
      <c r="D212" s="196" t="s">
        <v>466</v>
      </c>
      <c r="E212" s="197">
        <v>42390</v>
      </c>
      <c r="F212" s="196">
        <v>9519</v>
      </c>
    </row>
    <row r="213" spans="1:6" ht="15">
      <c r="A213" s="196">
        <v>197</v>
      </c>
      <c r="B213" s="196" t="s">
        <v>473</v>
      </c>
      <c r="C213" s="196" t="s">
        <v>465</v>
      </c>
      <c r="D213" s="196" t="s">
        <v>466</v>
      </c>
      <c r="E213" s="197">
        <v>42360</v>
      </c>
      <c r="F213" s="196">
        <v>582</v>
      </c>
    </row>
    <row r="214" spans="1:6" ht="15">
      <c r="A214" s="196">
        <v>244</v>
      </c>
      <c r="B214" s="196" t="s">
        <v>462</v>
      </c>
      <c r="C214" s="196" t="s">
        <v>465</v>
      </c>
      <c r="D214" s="196" t="s">
        <v>466</v>
      </c>
      <c r="E214" s="197">
        <v>42337</v>
      </c>
      <c r="F214" s="196">
        <v>8087</v>
      </c>
    </row>
    <row r="215" spans="1:6" ht="15">
      <c r="A215" s="196">
        <v>101</v>
      </c>
      <c r="B215" s="196" t="s">
        <v>467</v>
      </c>
      <c r="C215" s="196" t="s">
        <v>465</v>
      </c>
      <c r="D215" s="196" t="s">
        <v>466</v>
      </c>
      <c r="E215" s="197">
        <v>42328</v>
      </c>
      <c r="F215" s="196">
        <v>15597</v>
      </c>
    </row>
    <row r="216" spans="1:6" ht="15">
      <c r="A216" s="196">
        <v>148</v>
      </c>
      <c r="B216" s="196" t="s">
        <v>471</v>
      </c>
      <c r="C216" s="196" t="s">
        <v>470</v>
      </c>
      <c r="D216" s="196" t="s">
        <v>466</v>
      </c>
      <c r="E216" s="197">
        <v>42301</v>
      </c>
      <c r="F216" s="196">
        <v>12564</v>
      </c>
    </row>
    <row r="217" spans="1:6" ht="15">
      <c r="A217" s="196">
        <v>39</v>
      </c>
      <c r="B217" s="196" t="s">
        <v>471</v>
      </c>
      <c r="C217" s="196" t="s">
        <v>463</v>
      </c>
      <c r="D217" s="196" t="s">
        <v>466</v>
      </c>
      <c r="E217" s="197">
        <v>42226</v>
      </c>
      <c r="F217" s="196">
        <v>16966</v>
      </c>
    </row>
    <row r="218" spans="1:6" ht="15">
      <c r="A218" s="196">
        <v>5</v>
      </c>
      <c r="B218" s="196" t="s">
        <v>469</v>
      </c>
      <c r="C218" s="196" t="s">
        <v>470</v>
      </c>
      <c r="D218" s="196" t="s">
        <v>466</v>
      </c>
      <c r="E218" s="197">
        <v>42152</v>
      </c>
      <c r="F218" s="196">
        <v>28105</v>
      </c>
    </row>
    <row r="219" spans="1:6" ht="15">
      <c r="A219" s="196">
        <v>150</v>
      </c>
      <c r="B219" s="196" t="s">
        <v>473</v>
      </c>
      <c r="C219" s="196" t="s">
        <v>470</v>
      </c>
      <c r="D219" s="196" t="s">
        <v>466</v>
      </c>
      <c r="E219" s="197">
        <v>42142</v>
      </c>
      <c r="F219" s="196">
        <v>12564</v>
      </c>
    </row>
    <row r="220" spans="1:6" ht="15">
      <c r="A220" s="196">
        <v>276</v>
      </c>
      <c r="B220" s="196" t="s">
        <v>469</v>
      </c>
      <c r="C220" s="196" t="s">
        <v>465</v>
      </c>
      <c r="D220" s="196" t="s">
        <v>466</v>
      </c>
      <c r="E220" s="197">
        <v>42131</v>
      </c>
      <c r="F220" s="196">
        <v>10548</v>
      </c>
    </row>
    <row r="221" spans="1:6" ht="15">
      <c r="A221" s="196">
        <v>131</v>
      </c>
      <c r="B221" s="196" t="s">
        <v>471</v>
      </c>
      <c r="C221" s="196" t="s">
        <v>465</v>
      </c>
      <c r="D221" s="196" t="s">
        <v>466</v>
      </c>
      <c r="E221" s="197">
        <v>42128</v>
      </c>
      <c r="F221" s="196">
        <v>582</v>
      </c>
    </row>
    <row r="222" spans="1:6" ht="15">
      <c r="A222" s="196">
        <v>147</v>
      </c>
      <c r="B222" s="196" t="s">
        <v>462</v>
      </c>
      <c r="C222" s="196" t="s">
        <v>463</v>
      </c>
      <c r="D222" s="196" t="s">
        <v>466</v>
      </c>
      <c r="E222" s="197">
        <v>42033</v>
      </c>
      <c r="F222" s="196">
        <v>20141</v>
      </c>
    </row>
    <row r="223" spans="1:6" ht="15">
      <c r="A223" s="196">
        <v>47</v>
      </c>
      <c r="B223" s="196" t="s">
        <v>473</v>
      </c>
      <c r="C223" s="196" t="s">
        <v>463</v>
      </c>
      <c r="D223" s="196" t="s">
        <v>466</v>
      </c>
      <c r="E223" s="197">
        <v>41899</v>
      </c>
      <c r="F223" s="196">
        <v>16966</v>
      </c>
    </row>
    <row r="224" spans="1:6" ht="15">
      <c r="A224" s="196">
        <v>20</v>
      </c>
      <c r="B224" s="196" t="s">
        <v>469</v>
      </c>
      <c r="C224" s="196" t="s">
        <v>465</v>
      </c>
      <c r="D224" s="196" t="s">
        <v>474</v>
      </c>
      <c r="E224" s="197">
        <v>42876</v>
      </c>
      <c r="F224" s="196">
        <v>2337</v>
      </c>
    </row>
    <row r="225" spans="1:6" ht="15">
      <c r="A225" s="196">
        <v>66</v>
      </c>
      <c r="B225" s="196" t="s">
        <v>469</v>
      </c>
      <c r="C225" s="196" t="s">
        <v>463</v>
      </c>
      <c r="D225" s="196" t="s">
        <v>474</v>
      </c>
      <c r="E225" s="197">
        <v>42874</v>
      </c>
      <c r="F225" s="196">
        <v>5494</v>
      </c>
    </row>
    <row r="226" spans="1:6" ht="15">
      <c r="A226" s="196">
        <v>252</v>
      </c>
      <c r="B226" s="196" t="s">
        <v>473</v>
      </c>
      <c r="C226" s="196" t="s">
        <v>465</v>
      </c>
      <c r="D226" s="196" t="s">
        <v>474</v>
      </c>
      <c r="E226" s="197">
        <v>42837</v>
      </c>
      <c r="F226" s="196">
        <v>8513</v>
      </c>
    </row>
    <row r="227" spans="1:6" ht="15">
      <c r="A227" s="196">
        <v>269</v>
      </c>
      <c r="B227" s="196" t="s">
        <v>462</v>
      </c>
      <c r="C227" s="196" t="s">
        <v>465</v>
      </c>
      <c r="D227" s="196" t="s">
        <v>474</v>
      </c>
      <c r="E227" s="197">
        <v>42805</v>
      </c>
      <c r="F227" s="196">
        <v>18008</v>
      </c>
    </row>
    <row r="228" spans="1:6" ht="15">
      <c r="A228" s="196">
        <v>49</v>
      </c>
      <c r="B228" s="196" t="s">
        <v>471</v>
      </c>
      <c r="C228" s="196" t="s">
        <v>463</v>
      </c>
      <c r="D228" s="196" t="s">
        <v>474</v>
      </c>
      <c r="E228" s="197">
        <v>42711</v>
      </c>
      <c r="F228" s="196">
        <v>1225</v>
      </c>
    </row>
    <row r="229" spans="1:6" ht="15">
      <c r="A229" s="196">
        <v>251</v>
      </c>
      <c r="B229" s="196" t="s">
        <v>467</v>
      </c>
      <c r="C229" s="196" t="s">
        <v>463</v>
      </c>
      <c r="D229" s="196" t="s">
        <v>474</v>
      </c>
      <c r="E229" s="197">
        <v>42649</v>
      </c>
      <c r="F229" s="196">
        <v>7696</v>
      </c>
    </row>
    <row r="230" spans="1:6" ht="15">
      <c r="A230" s="196">
        <v>21</v>
      </c>
      <c r="B230" s="196" t="s">
        <v>471</v>
      </c>
      <c r="C230" s="196" t="s">
        <v>468</v>
      </c>
      <c r="D230" s="196" t="s">
        <v>474</v>
      </c>
      <c r="E230" s="197">
        <v>42645</v>
      </c>
      <c r="F230" s="196">
        <v>16653</v>
      </c>
    </row>
    <row r="231" spans="1:6" ht="15">
      <c r="A231" s="196">
        <v>112</v>
      </c>
      <c r="B231" s="196" t="s">
        <v>473</v>
      </c>
      <c r="C231" s="196" t="s">
        <v>463</v>
      </c>
      <c r="D231" s="196" t="s">
        <v>474</v>
      </c>
      <c r="E231" s="197">
        <v>42638</v>
      </c>
      <c r="F231" s="196">
        <v>1225</v>
      </c>
    </row>
    <row r="232" spans="1:6" ht="15">
      <c r="A232" s="196">
        <v>53</v>
      </c>
      <c r="B232" s="196" t="s">
        <v>462</v>
      </c>
      <c r="C232" s="196" t="s">
        <v>470</v>
      </c>
      <c r="D232" s="196" t="s">
        <v>474</v>
      </c>
      <c r="E232" s="197">
        <v>42628</v>
      </c>
      <c r="F232" s="196">
        <v>24008</v>
      </c>
    </row>
    <row r="233" spans="1:6" ht="15">
      <c r="A233" s="196">
        <v>265</v>
      </c>
      <c r="B233" s="196" t="s">
        <v>464</v>
      </c>
      <c r="C233" s="196" t="s">
        <v>470</v>
      </c>
      <c r="D233" s="196" t="s">
        <v>474</v>
      </c>
      <c r="E233" s="197">
        <v>42616</v>
      </c>
      <c r="F233" s="196">
        <v>25536</v>
      </c>
    </row>
    <row r="234" spans="1:6" ht="15">
      <c r="A234" s="196">
        <v>110</v>
      </c>
      <c r="B234" s="196" t="s">
        <v>464</v>
      </c>
      <c r="C234" s="196" t="s">
        <v>463</v>
      </c>
      <c r="D234" s="196" t="s">
        <v>474</v>
      </c>
      <c r="E234" s="197">
        <v>42578</v>
      </c>
      <c r="F234" s="196">
        <v>23804</v>
      </c>
    </row>
    <row r="235" spans="1:6" ht="15">
      <c r="A235" s="196">
        <v>106</v>
      </c>
      <c r="B235" s="196" t="s">
        <v>469</v>
      </c>
      <c r="C235" s="196" t="s">
        <v>468</v>
      </c>
      <c r="D235" s="196" t="s">
        <v>474</v>
      </c>
      <c r="E235" s="197">
        <v>42442</v>
      </c>
      <c r="F235" s="196">
        <v>10920</v>
      </c>
    </row>
    <row r="236" spans="1:6" ht="15">
      <c r="A236" s="196">
        <v>124</v>
      </c>
      <c r="B236" s="196" t="s">
        <v>469</v>
      </c>
      <c r="C236" s="196" t="s">
        <v>470</v>
      </c>
      <c r="D236" s="196" t="s">
        <v>474</v>
      </c>
      <c r="E236" s="197">
        <v>42380</v>
      </c>
      <c r="F236" s="196">
        <v>27874</v>
      </c>
    </row>
    <row r="237" spans="1:6" ht="15">
      <c r="A237" s="196">
        <v>10</v>
      </c>
      <c r="B237" s="196" t="s">
        <v>467</v>
      </c>
      <c r="C237" s="196" t="s">
        <v>465</v>
      </c>
      <c r="D237" s="196" t="s">
        <v>474</v>
      </c>
      <c r="E237" s="197">
        <v>42202</v>
      </c>
      <c r="F237" s="196">
        <v>25399</v>
      </c>
    </row>
    <row r="238" spans="1:6" ht="15">
      <c r="A238" s="196">
        <v>225</v>
      </c>
      <c r="B238" s="196" t="s">
        <v>471</v>
      </c>
      <c r="C238" s="196" t="s">
        <v>470</v>
      </c>
      <c r="D238" s="196" t="s">
        <v>474</v>
      </c>
      <c r="E238" s="197">
        <v>42179</v>
      </c>
      <c r="F238" s="196">
        <v>4408</v>
      </c>
    </row>
    <row r="239" spans="1:6" ht="15">
      <c r="A239" s="196">
        <v>11</v>
      </c>
      <c r="B239" s="196" t="s">
        <v>471</v>
      </c>
      <c r="C239" s="196" t="s">
        <v>465</v>
      </c>
      <c r="D239" s="196" t="s">
        <v>474</v>
      </c>
      <c r="E239" s="197">
        <v>42119</v>
      </c>
      <c r="F239" s="196">
        <v>8513</v>
      </c>
    </row>
    <row r="240" spans="1:6" ht="15">
      <c r="A240" s="196">
        <v>279</v>
      </c>
      <c r="B240" s="196" t="s">
        <v>473</v>
      </c>
      <c r="C240" s="196" t="s">
        <v>470</v>
      </c>
      <c r="D240" s="196" t="s">
        <v>474</v>
      </c>
      <c r="E240" s="197">
        <v>42110</v>
      </c>
      <c r="F240" s="196">
        <v>4408</v>
      </c>
    </row>
    <row r="241" spans="1:6" ht="15">
      <c r="A241" s="196">
        <v>247</v>
      </c>
      <c r="B241" s="196" t="s">
        <v>462</v>
      </c>
      <c r="C241" s="196" t="s">
        <v>463</v>
      </c>
      <c r="D241" s="196" t="s">
        <v>474</v>
      </c>
      <c r="E241" s="197">
        <v>42059</v>
      </c>
      <c r="F241" s="196">
        <v>14050</v>
      </c>
    </row>
    <row r="242" spans="1:6" ht="15">
      <c r="A242" s="196">
        <v>141</v>
      </c>
      <c r="B242" s="196" t="s">
        <v>467</v>
      </c>
      <c r="C242" s="196" t="s">
        <v>468</v>
      </c>
      <c r="D242" s="196" t="s">
        <v>474</v>
      </c>
      <c r="E242" s="197">
        <v>41993</v>
      </c>
      <c r="F242" s="196">
        <v>7838</v>
      </c>
    </row>
    <row r="243" spans="1:6" ht="15">
      <c r="A243" s="196">
        <v>248</v>
      </c>
      <c r="B243" s="196" t="s">
        <v>464</v>
      </c>
      <c r="C243" s="196" t="s">
        <v>468</v>
      </c>
      <c r="D243" s="196" t="s">
        <v>474</v>
      </c>
      <c r="E243" s="197">
        <v>41969</v>
      </c>
      <c r="F243" s="196">
        <v>7083</v>
      </c>
    </row>
    <row r="244" spans="1:6" ht="15">
      <c r="A244" s="196">
        <v>155</v>
      </c>
      <c r="B244" s="196" t="s">
        <v>462</v>
      </c>
      <c r="C244" s="196" t="s">
        <v>468</v>
      </c>
      <c r="D244" s="196" t="s">
        <v>474</v>
      </c>
      <c r="E244" s="197">
        <v>41965</v>
      </c>
      <c r="F244" s="196">
        <v>15037</v>
      </c>
    </row>
    <row r="245" spans="1:6" ht="15">
      <c r="A245" s="196">
        <v>38</v>
      </c>
      <c r="B245" s="196" t="s">
        <v>464</v>
      </c>
      <c r="C245" s="196" t="s">
        <v>465</v>
      </c>
      <c r="D245" s="196" t="s">
        <v>474</v>
      </c>
      <c r="E245" s="197">
        <v>41964</v>
      </c>
      <c r="F245" s="196">
        <v>29402</v>
      </c>
    </row>
    <row r="246" spans="1:6" ht="15">
      <c r="A246" s="196">
        <v>220</v>
      </c>
      <c r="B246" s="196" t="s">
        <v>473</v>
      </c>
      <c r="C246" s="196" t="s">
        <v>468</v>
      </c>
      <c r="D246" s="196" t="s">
        <v>474</v>
      </c>
      <c r="E246" s="197">
        <v>41947</v>
      </c>
      <c r="F246" s="196">
        <v>16653</v>
      </c>
    </row>
    <row r="247" spans="1:6" ht="15">
      <c r="A247" s="196">
        <v>193</v>
      </c>
      <c r="B247" s="196" t="s">
        <v>467</v>
      </c>
      <c r="C247" s="196" t="s">
        <v>470</v>
      </c>
      <c r="D247" s="196" t="s">
        <v>474</v>
      </c>
      <c r="E247" s="197">
        <v>41934</v>
      </c>
      <c r="F247" s="196">
        <v>9990</v>
      </c>
    </row>
    <row r="248" spans="1:6" ht="15">
      <c r="A248" s="196">
        <v>91</v>
      </c>
      <c r="B248" s="196" t="s">
        <v>471</v>
      </c>
      <c r="C248" s="196" t="s">
        <v>468</v>
      </c>
      <c r="D248" s="196" t="s">
        <v>476</v>
      </c>
      <c r="E248" s="197">
        <v>42879</v>
      </c>
      <c r="F248" s="196">
        <v>17808</v>
      </c>
    </row>
    <row r="249" spans="1:6" ht="15">
      <c r="A249" s="196">
        <v>287</v>
      </c>
      <c r="B249" s="196" t="s">
        <v>469</v>
      </c>
      <c r="C249" s="196" t="s">
        <v>463</v>
      </c>
      <c r="D249" s="196" t="s">
        <v>476</v>
      </c>
      <c r="E249" s="197">
        <v>42857</v>
      </c>
      <c r="F249" s="196">
        <v>2521</v>
      </c>
    </row>
    <row r="250" spans="1:6" ht="15">
      <c r="A250" s="196">
        <v>286</v>
      </c>
      <c r="B250" s="196" t="s">
        <v>462</v>
      </c>
      <c r="C250" s="196" t="s">
        <v>463</v>
      </c>
      <c r="D250" s="196" t="s">
        <v>476</v>
      </c>
      <c r="E250" s="197">
        <v>42802</v>
      </c>
      <c r="F250" s="196">
        <v>2993</v>
      </c>
    </row>
    <row r="251" spans="1:6" ht="15">
      <c r="A251" s="196">
        <v>15</v>
      </c>
      <c r="B251" s="196" t="s">
        <v>467</v>
      </c>
      <c r="C251" s="196" t="s">
        <v>468</v>
      </c>
      <c r="D251" s="196" t="s">
        <v>476</v>
      </c>
      <c r="E251" s="197">
        <v>42648</v>
      </c>
      <c r="F251" s="196">
        <v>11633</v>
      </c>
    </row>
    <row r="252" spans="1:6" ht="15">
      <c r="A252" s="196">
        <v>18</v>
      </c>
      <c r="B252" s="196" t="s">
        <v>464</v>
      </c>
      <c r="C252" s="196" t="s">
        <v>463</v>
      </c>
      <c r="D252" s="196" t="s">
        <v>476</v>
      </c>
      <c r="E252" s="197">
        <v>42626</v>
      </c>
      <c r="F252" s="196">
        <v>2237</v>
      </c>
    </row>
    <row r="253" spans="1:6" ht="15">
      <c r="A253" s="196">
        <v>65</v>
      </c>
      <c r="B253" s="196" t="s">
        <v>469</v>
      </c>
      <c r="C253" s="196" t="s">
        <v>463</v>
      </c>
      <c r="D253" s="196" t="s">
        <v>476</v>
      </c>
      <c r="E253" s="197">
        <v>42620</v>
      </c>
      <c r="F253" s="196">
        <v>22939</v>
      </c>
    </row>
    <row r="254" spans="1:6" ht="15">
      <c r="A254" s="196">
        <v>173</v>
      </c>
      <c r="B254" s="196" t="s">
        <v>473</v>
      </c>
      <c r="C254" s="196" t="s">
        <v>463</v>
      </c>
      <c r="D254" s="196" t="s">
        <v>476</v>
      </c>
      <c r="E254" s="197">
        <v>42572</v>
      </c>
      <c r="F254" s="196">
        <v>19774</v>
      </c>
    </row>
    <row r="255" spans="1:6" ht="15">
      <c r="A255" s="196">
        <v>48</v>
      </c>
      <c r="B255" s="196" t="s">
        <v>462</v>
      </c>
      <c r="C255" s="196" t="s">
        <v>468</v>
      </c>
      <c r="D255" s="196" t="s">
        <v>476</v>
      </c>
      <c r="E255" s="197">
        <v>42526</v>
      </c>
      <c r="F255" s="196">
        <v>14283</v>
      </c>
    </row>
    <row r="256" spans="1:6" ht="15">
      <c r="A256" s="196">
        <v>100</v>
      </c>
      <c r="B256" s="196" t="s">
        <v>464</v>
      </c>
      <c r="C256" s="196" t="s">
        <v>463</v>
      </c>
      <c r="D256" s="196" t="s">
        <v>476</v>
      </c>
      <c r="E256" s="197">
        <v>42522</v>
      </c>
      <c r="F256" s="196">
        <v>21057</v>
      </c>
    </row>
    <row r="257" spans="1:6" ht="15">
      <c r="A257" s="196">
        <v>77</v>
      </c>
      <c r="B257" s="196" t="s">
        <v>467</v>
      </c>
      <c r="C257" s="196" t="s">
        <v>463</v>
      </c>
      <c r="D257" s="196" t="s">
        <v>476</v>
      </c>
      <c r="E257" s="197">
        <v>42492</v>
      </c>
      <c r="F257" s="196">
        <v>29841</v>
      </c>
    </row>
    <row r="258" spans="1:6" ht="15">
      <c r="A258" s="196">
        <v>116</v>
      </c>
      <c r="B258" s="196" t="s">
        <v>473</v>
      </c>
      <c r="C258" s="196" t="s">
        <v>463</v>
      </c>
      <c r="D258" s="196" t="s">
        <v>476</v>
      </c>
      <c r="E258" s="197">
        <v>42352</v>
      </c>
      <c r="F258" s="196">
        <v>14383</v>
      </c>
    </row>
    <row r="259" spans="1:6" ht="15">
      <c r="A259" s="196">
        <v>143</v>
      </c>
      <c r="B259" s="196" t="s">
        <v>464</v>
      </c>
      <c r="C259" s="196" t="s">
        <v>468</v>
      </c>
      <c r="D259" s="196" t="s">
        <v>476</v>
      </c>
      <c r="E259" s="197">
        <v>42339</v>
      </c>
      <c r="F259" s="196">
        <v>25257</v>
      </c>
    </row>
    <row r="260" spans="1:6" ht="15">
      <c r="A260" s="196">
        <v>31</v>
      </c>
      <c r="B260" s="196" t="s">
        <v>469</v>
      </c>
      <c r="C260" s="196" t="s">
        <v>468</v>
      </c>
      <c r="D260" s="196" t="s">
        <v>476</v>
      </c>
      <c r="E260" s="197">
        <v>42324</v>
      </c>
      <c r="F260" s="196">
        <v>6117</v>
      </c>
    </row>
    <row r="261" spans="1:6" ht="15">
      <c r="A261" s="196">
        <v>234</v>
      </c>
      <c r="B261" s="196" t="s">
        <v>462</v>
      </c>
      <c r="C261" s="196" t="s">
        <v>463</v>
      </c>
      <c r="D261" s="196" t="s">
        <v>476</v>
      </c>
      <c r="E261" s="197">
        <v>42182</v>
      </c>
      <c r="F261" s="196">
        <v>764</v>
      </c>
    </row>
    <row r="262" spans="1:6" ht="15">
      <c r="A262" s="196">
        <v>208</v>
      </c>
      <c r="B262" s="196" t="s">
        <v>471</v>
      </c>
      <c r="C262" s="196" t="s">
        <v>463</v>
      </c>
      <c r="D262" s="196" t="s">
        <v>476</v>
      </c>
      <c r="E262" s="197">
        <v>42065</v>
      </c>
      <c r="F262" s="196">
        <v>19774</v>
      </c>
    </row>
    <row r="263" spans="1:6" ht="15">
      <c r="A263" s="196">
        <v>45</v>
      </c>
      <c r="B263" s="196" t="s">
        <v>473</v>
      </c>
      <c r="C263" s="196" t="s">
        <v>468</v>
      </c>
      <c r="D263" s="196" t="s">
        <v>476</v>
      </c>
      <c r="E263" s="197">
        <v>42046</v>
      </c>
      <c r="F263" s="196">
        <v>17808</v>
      </c>
    </row>
    <row r="264" spans="1:6" ht="15">
      <c r="A264" s="196">
        <v>195</v>
      </c>
      <c r="B264" s="196" t="s">
        <v>471</v>
      </c>
      <c r="C264" s="196" t="s">
        <v>463</v>
      </c>
      <c r="D264" s="196" t="s">
        <v>476</v>
      </c>
      <c r="E264" s="197">
        <v>42027</v>
      </c>
      <c r="F264" s="196">
        <v>14383</v>
      </c>
    </row>
    <row r="265" spans="1:6" ht="15">
      <c r="A265" s="196">
        <v>82</v>
      </c>
      <c r="B265" s="196" t="s">
        <v>467</v>
      </c>
      <c r="C265" s="196" t="s">
        <v>463</v>
      </c>
      <c r="D265" s="196" t="s">
        <v>476</v>
      </c>
      <c r="E265" s="197">
        <v>41962</v>
      </c>
      <c r="F265" s="196">
        <v>16166</v>
      </c>
    </row>
    <row r="266" spans="1:6" ht="15">
      <c r="A266" s="196">
        <v>260</v>
      </c>
      <c r="B266" s="196" t="s">
        <v>462</v>
      </c>
      <c r="C266" s="196" t="s">
        <v>465</v>
      </c>
      <c r="D266" s="196" t="s">
        <v>475</v>
      </c>
      <c r="E266" s="197">
        <v>42849</v>
      </c>
      <c r="F266" s="196">
        <v>16881</v>
      </c>
    </row>
    <row r="267" spans="1:6" ht="15">
      <c r="A267" s="196">
        <v>68</v>
      </c>
      <c r="B267" s="196" t="s">
        <v>464</v>
      </c>
      <c r="C267" s="196" t="s">
        <v>463</v>
      </c>
      <c r="D267" s="196" t="s">
        <v>475</v>
      </c>
      <c r="E267" s="197">
        <v>42833</v>
      </c>
      <c r="F267" s="196">
        <v>7140</v>
      </c>
    </row>
    <row r="268" spans="1:6" ht="15">
      <c r="A268" s="196">
        <v>212</v>
      </c>
      <c r="B268" s="196" t="s">
        <v>469</v>
      </c>
      <c r="C268" s="196" t="s">
        <v>463</v>
      </c>
      <c r="D268" s="196" t="s">
        <v>475</v>
      </c>
      <c r="E268" s="197">
        <v>42831</v>
      </c>
      <c r="F268" s="196">
        <v>14323</v>
      </c>
    </row>
    <row r="269" spans="1:6" ht="15">
      <c r="A269" s="196">
        <v>25</v>
      </c>
      <c r="B269" s="196" t="s">
        <v>464</v>
      </c>
      <c r="C269" s="196" t="s">
        <v>465</v>
      </c>
      <c r="D269" s="196" t="s">
        <v>475</v>
      </c>
      <c r="E269" s="197">
        <v>42822</v>
      </c>
      <c r="F269" s="196">
        <v>18599</v>
      </c>
    </row>
    <row r="270" spans="1:6" ht="15">
      <c r="A270" s="196">
        <v>149</v>
      </c>
      <c r="B270" s="196" t="s">
        <v>462</v>
      </c>
      <c r="C270" s="196" t="s">
        <v>465</v>
      </c>
      <c r="D270" s="196" t="s">
        <v>475</v>
      </c>
      <c r="E270" s="197">
        <v>42796</v>
      </c>
      <c r="F270" s="196">
        <v>19069</v>
      </c>
    </row>
    <row r="271" spans="1:6" ht="15">
      <c r="A271" s="196">
        <v>81</v>
      </c>
      <c r="B271" s="196" t="s">
        <v>471</v>
      </c>
      <c r="C271" s="196" t="s">
        <v>465</v>
      </c>
      <c r="D271" s="196" t="s">
        <v>475</v>
      </c>
      <c r="E271" s="197">
        <v>42788</v>
      </c>
      <c r="F271" s="196">
        <v>4958</v>
      </c>
    </row>
    <row r="272" spans="1:6" ht="15">
      <c r="A272" s="196">
        <v>240</v>
      </c>
      <c r="B272" s="196" t="s">
        <v>462</v>
      </c>
      <c r="C272" s="196" t="s">
        <v>463</v>
      </c>
      <c r="D272" s="196" t="s">
        <v>475</v>
      </c>
      <c r="E272" s="197">
        <v>42751</v>
      </c>
      <c r="F272" s="196">
        <v>12870</v>
      </c>
    </row>
    <row r="273" spans="1:6" ht="15">
      <c r="A273" s="196">
        <v>273</v>
      </c>
      <c r="B273" s="196" t="s">
        <v>473</v>
      </c>
      <c r="C273" s="196" t="s">
        <v>465</v>
      </c>
      <c r="D273" s="196" t="s">
        <v>475</v>
      </c>
      <c r="E273" s="197">
        <v>42661</v>
      </c>
      <c r="F273" s="196">
        <v>11884</v>
      </c>
    </row>
    <row r="274" spans="1:6" ht="15">
      <c r="A274" s="196">
        <v>13</v>
      </c>
      <c r="B274" s="196" t="s">
        <v>473</v>
      </c>
      <c r="C274" s="196" t="s">
        <v>468</v>
      </c>
      <c r="D274" s="196" t="s">
        <v>475</v>
      </c>
      <c r="E274" s="197">
        <v>42658</v>
      </c>
      <c r="F274" s="196">
        <v>4088</v>
      </c>
    </row>
    <row r="275" spans="1:6" ht="15">
      <c r="A275" s="196">
        <v>189</v>
      </c>
      <c r="B275" s="196" t="s">
        <v>464</v>
      </c>
      <c r="C275" s="196" t="s">
        <v>465</v>
      </c>
      <c r="D275" s="196" t="s">
        <v>475</v>
      </c>
      <c r="E275" s="197">
        <v>42636</v>
      </c>
      <c r="F275" s="196">
        <v>22816</v>
      </c>
    </row>
    <row r="276" spans="1:6" ht="15">
      <c r="A276" s="196">
        <v>94</v>
      </c>
      <c r="B276" s="196" t="s">
        <v>471</v>
      </c>
      <c r="C276" s="196" t="s">
        <v>468</v>
      </c>
      <c r="D276" s="196" t="s">
        <v>475</v>
      </c>
      <c r="E276" s="197">
        <v>42635</v>
      </c>
      <c r="F276" s="196">
        <v>4088</v>
      </c>
    </row>
    <row r="277" spans="1:6" ht="15">
      <c r="A277" s="196">
        <v>29</v>
      </c>
      <c r="B277" s="196" t="s">
        <v>462</v>
      </c>
      <c r="C277" s="196" t="s">
        <v>468</v>
      </c>
      <c r="D277" s="196" t="s">
        <v>475</v>
      </c>
      <c r="E277" s="197">
        <v>42632</v>
      </c>
      <c r="F277" s="196">
        <v>12681</v>
      </c>
    </row>
    <row r="278" spans="1:6" ht="15">
      <c r="A278" s="196">
        <v>196</v>
      </c>
      <c r="B278" s="196" t="s">
        <v>471</v>
      </c>
      <c r="C278" s="196" t="s">
        <v>463</v>
      </c>
      <c r="D278" s="196" t="s">
        <v>475</v>
      </c>
      <c r="E278" s="197">
        <v>42576</v>
      </c>
      <c r="F278" s="196">
        <v>5706</v>
      </c>
    </row>
    <row r="279" spans="1:6" ht="15">
      <c r="A279" s="196">
        <v>227</v>
      </c>
      <c r="B279" s="196" t="s">
        <v>469</v>
      </c>
      <c r="C279" s="196" t="s">
        <v>465</v>
      </c>
      <c r="D279" s="196" t="s">
        <v>475</v>
      </c>
      <c r="E279" s="197">
        <v>42512</v>
      </c>
      <c r="F279" s="196">
        <v>19735</v>
      </c>
    </row>
    <row r="280" spans="1:6" ht="15">
      <c r="A280" s="196">
        <v>56</v>
      </c>
      <c r="B280" s="196" t="s">
        <v>469</v>
      </c>
      <c r="C280" s="196" t="s">
        <v>468</v>
      </c>
      <c r="D280" s="196" t="s">
        <v>475</v>
      </c>
      <c r="E280" s="197">
        <v>42493</v>
      </c>
      <c r="F280" s="196">
        <v>24906</v>
      </c>
    </row>
    <row r="281" spans="1:6" ht="15">
      <c r="A281" s="196">
        <v>17</v>
      </c>
      <c r="B281" s="196" t="s">
        <v>467</v>
      </c>
      <c r="C281" s="196" t="s">
        <v>468</v>
      </c>
      <c r="D281" s="196" t="s">
        <v>475</v>
      </c>
      <c r="E281" s="197">
        <v>42457</v>
      </c>
      <c r="F281" s="196">
        <v>20032</v>
      </c>
    </row>
    <row r="282" spans="1:6" ht="15">
      <c r="A282" s="196">
        <v>137</v>
      </c>
      <c r="B282" s="196" t="s">
        <v>467</v>
      </c>
      <c r="C282" s="196" t="s">
        <v>465</v>
      </c>
      <c r="D282" s="196" t="s">
        <v>475</v>
      </c>
      <c r="E282" s="197">
        <v>42453</v>
      </c>
      <c r="F282" s="196">
        <v>25074</v>
      </c>
    </row>
    <row r="283" spans="1:6" ht="15">
      <c r="A283" s="196">
        <v>285</v>
      </c>
      <c r="B283" s="196" t="s">
        <v>473</v>
      </c>
      <c r="C283" s="196" t="s">
        <v>463</v>
      </c>
      <c r="D283" s="196" t="s">
        <v>475</v>
      </c>
      <c r="E283" s="197">
        <v>42279</v>
      </c>
      <c r="F283" s="196">
        <v>5706</v>
      </c>
    </row>
    <row r="284" spans="1:6" ht="15">
      <c r="A284" s="196">
        <v>246</v>
      </c>
      <c r="B284" s="196" t="s">
        <v>467</v>
      </c>
      <c r="C284" s="196" t="s">
        <v>463</v>
      </c>
      <c r="D284" s="196" t="s">
        <v>475</v>
      </c>
      <c r="E284" s="197">
        <v>42202</v>
      </c>
      <c r="F284" s="196">
        <v>21435</v>
      </c>
    </row>
    <row r="285" spans="1:6" ht="15">
      <c r="A285" s="196">
        <v>111</v>
      </c>
      <c r="B285" s="196" t="s">
        <v>467</v>
      </c>
      <c r="C285" s="196" t="s">
        <v>465</v>
      </c>
      <c r="D285" s="196" t="s">
        <v>475</v>
      </c>
      <c r="E285" s="197">
        <v>42142</v>
      </c>
      <c r="F285" s="196">
        <v>17814</v>
      </c>
    </row>
    <row r="286" spans="1:6" ht="15">
      <c r="A286" s="196">
        <v>245</v>
      </c>
      <c r="B286" s="196" t="s">
        <v>473</v>
      </c>
      <c r="C286" s="196" t="s">
        <v>465</v>
      </c>
      <c r="D286" s="196" t="s">
        <v>475</v>
      </c>
      <c r="E286" s="197">
        <v>42091</v>
      </c>
      <c r="F286" s="196">
        <v>4958</v>
      </c>
    </row>
    <row r="287" spans="1:6" ht="15">
      <c r="A287" s="196">
        <v>191</v>
      </c>
      <c r="B287" s="196" t="s">
        <v>464</v>
      </c>
      <c r="C287" s="196" t="s">
        <v>468</v>
      </c>
      <c r="D287" s="196" t="s">
        <v>475</v>
      </c>
      <c r="E287" s="197">
        <v>42075</v>
      </c>
      <c r="F287" s="196">
        <v>10068</v>
      </c>
    </row>
    <row r="288" spans="1:6" ht="15">
      <c r="A288" s="196">
        <v>28</v>
      </c>
      <c r="B288" s="196" t="s">
        <v>469</v>
      </c>
      <c r="C288" s="196" t="s">
        <v>465</v>
      </c>
      <c r="D288" s="196" t="s">
        <v>475</v>
      </c>
      <c r="E288" s="197">
        <v>42045</v>
      </c>
      <c r="F288" s="196">
        <v>9655</v>
      </c>
    </row>
    <row r="289" spans="1:6" ht="15">
      <c r="A289" s="196">
        <v>54</v>
      </c>
      <c r="B289" s="196" t="s">
        <v>471</v>
      </c>
      <c r="C289" s="196" t="s">
        <v>465</v>
      </c>
      <c r="D289" s="196" t="s">
        <v>475</v>
      </c>
      <c r="E289" s="197">
        <v>41902</v>
      </c>
      <c r="F289" s="196">
        <v>11884</v>
      </c>
    </row>
  </sheetData>
  <sortState xmlns:xlrd2="http://schemas.microsoft.com/office/spreadsheetml/2017/richdata2" ref="A2:F289">
    <sortCondition ref="D7"/>
  </sortState>
  <customSheetViews>
    <customSheetView guid="{32169818-EA48-4D2C-804F-10AFEFD0B9B2}" showGridLines="0">
      <pageMargins left="0.75" right="0.75" top="1" bottom="1" header="0.5" footer="0.5"/>
      <printOptions headings="1" gridLines="1"/>
      <pageSetup scale="90" orientation="landscape" horizontalDpi="300" verticalDpi="300" r:id="rId1"/>
      <headerFooter alignWithMargins="0">
        <oddFooter>&amp;L&amp;A&amp;C&amp;BPragati Software Pvt. Ltd. Confidential&amp;B&amp;RPage &amp;P</oddFooter>
      </headerFooter>
    </customSheetView>
  </customSheetViews>
  <phoneticPr fontId="0" type="noConversion"/>
  <printOptions headings="1" gridLines="1"/>
  <pageMargins left="0.75" right="0.75" top="1" bottom="1" header="0.5" footer="0.5"/>
  <pageSetup scale="90" orientation="landscape" horizontalDpi="300" verticalDpi="300" r:id="rId2"/>
  <headerFooter alignWithMargins="0">
    <oddFooter>&amp;L&amp;A&amp;C&amp;BPragati Software Pvt. Ltd. Confidential&amp;B&amp;RPage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289"/>
  <sheetViews>
    <sheetView showGridLines="0" zoomScale="115" zoomScaleNormal="115" workbookViewId="0">
      <selection activeCell="B12" sqref="B12"/>
    </sheetView>
  </sheetViews>
  <sheetFormatPr defaultColWidth="9.28515625" defaultRowHeight="12.75"/>
  <cols>
    <col min="1" max="1" width="13.28515625" style="1" customWidth="1"/>
    <col min="2" max="2" width="12.42578125" style="1" customWidth="1"/>
    <col min="3" max="3" width="8.42578125" style="1" customWidth="1"/>
    <col min="4" max="4" width="9.28515625" style="1" customWidth="1"/>
    <col min="5" max="5" width="12" style="1" customWidth="1"/>
    <col min="6" max="6" width="11.28515625" style="1" customWidth="1"/>
    <col min="7" max="18" width="9.28515625" style="1"/>
    <col min="19" max="19" width="13.28515625" style="1" customWidth="1"/>
    <col min="20" max="16384" width="9.28515625" style="1"/>
  </cols>
  <sheetData>
    <row r="1" spans="1:19" ht="15">
      <c r="A1" s="195" t="s">
        <v>481</v>
      </c>
      <c r="B1" s="195" t="s">
        <v>39</v>
      </c>
      <c r="C1" s="195" t="s">
        <v>460</v>
      </c>
      <c r="D1" s="195" t="s">
        <v>282</v>
      </c>
      <c r="E1" s="195" t="s">
        <v>482</v>
      </c>
      <c r="F1" s="195" t="s">
        <v>461</v>
      </c>
    </row>
    <row r="2" spans="1:19" ht="15">
      <c r="A2" s="196">
        <v>1</v>
      </c>
      <c r="B2" s="196" t="s">
        <v>462</v>
      </c>
      <c r="C2" s="196" t="s">
        <v>463</v>
      </c>
      <c r="D2" s="196" t="s">
        <v>346</v>
      </c>
      <c r="E2" s="197">
        <v>41947</v>
      </c>
      <c r="F2" s="196">
        <v>16228</v>
      </c>
    </row>
    <row r="3" spans="1:19" ht="15">
      <c r="A3" s="196">
        <v>2</v>
      </c>
      <c r="B3" s="196" t="s">
        <v>464</v>
      </c>
      <c r="C3" s="196" t="s">
        <v>463</v>
      </c>
      <c r="D3" s="196" t="s">
        <v>348</v>
      </c>
      <c r="E3" s="197">
        <v>42310</v>
      </c>
      <c r="F3" s="196">
        <v>27252</v>
      </c>
    </row>
    <row r="4" spans="1:19" ht="15">
      <c r="A4" s="196">
        <v>3</v>
      </c>
      <c r="B4" s="196" t="s">
        <v>464</v>
      </c>
      <c r="C4" s="196" t="s">
        <v>465</v>
      </c>
      <c r="D4" s="196" t="s">
        <v>466</v>
      </c>
      <c r="E4" s="197">
        <v>42775</v>
      </c>
      <c r="F4" s="196">
        <v>19349</v>
      </c>
    </row>
    <row r="5" spans="1:19" ht="15">
      <c r="A5" s="196">
        <v>4</v>
      </c>
      <c r="B5" s="196" t="s">
        <v>467</v>
      </c>
      <c r="C5" s="196" t="s">
        <v>468</v>
      </c>
      <c r="D5" s="196" t="s">
        <v>344</v>
      </c>
      <c r="E5" s="197">
        <v>42312</v>
      </c>
      <c r="F5" s="196">
        <v>20537</v>
      </c>
    </row>
    <row r="6" spans="1:19" ht="15">
      <c r="A6" s="196">
        <v>5</v>
      </c>
      <c r="B6" s="196" t="s">
        <v>469</v>
      </c>
      <c r="C6" s="196" t="s">
        <v>470</v>
      </c>
      <c r="D6" s="196" t="s">
        <v>466</v>
      </c>
      <c r="E6" s="197">
        <v>42152</v>
      </c>
      <c r="F6" s="196">
        <v>28105</v>
      </c>
    </row>
    <row r="7" spans="1:19" ht="15">
      <c r="A7" s="196">
        <v>6</v>
      </c>
      <c r="B7" s="196" t="s">
        <v>469</v>
      </c>
      <c r="C7" s="196" t="s">
        <v>468</v>
      </c>
      <c r="D7" s="196" t="s">
        <v>344</v>
      </c>
      <c r="E7" s="197">
        <v>42259</v>
      </c>
      <c r="F7" s="196">
        <v>13927</v>
      </c>
    </row>
    <row r="8" spans="1:19" ht="15">
      <c r="A8" s="196">
        <v>7</v>
      </c>
      <c r="B8" s="196" t="s">
        <v>471</v>
      </c>
      <c r="C8" s="196" t="s">
        <v>463</v>
      </c>
      <c r="D8" s="196" t="s">
        <v>472</v>
      </c>
      <c r="E8" s="197">
        <v>42099</v>
      </c>
      <c r="F8" s="196">
        <v>5140</v>
      </c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</row>
    <row r="9" spans="1:19" ht="15">
      <c r="A9" s="196">
        <v>8</v>
      </c>
      <c r="B9" s="196" t="s">
        <v>473</v>
      </c>
      <c r="C9" s="196" t="s">
        <v>470</v>
      </c>
      <c r="D9" s="196" t="s">
        <v>348</v>
      </c>
      <c r="E9" s="197">
        <v>42353</v>
      </c>
      <c r="F9" s="196">
        <v>18819</v>
      </c>
      <c r="I9" s="32"/>
      <c r="J9" s="32"/>
      <c r="K9" s="32"/>
      <c r="M9" s="26"/>
      <c r="N9" s="38"/>
      <c r="O9" s="39"/>
      <c r="P9" s="39"/>
      <c r="Q9" s="39"/>
      <c r="S9" s="40"/>
    </row>
    <row r="10" spans="1:19" ht="15">
      <c r="A10" s="196">
        <v>9</v>
      </c>
      <c r="B10" s="196" t="s">
        <v>469</v>
      </c>
      <c r="C10" s="196" t="s">
        <v>470</v>
      </c>
      <c r="D10" s="196" t="s">
        <v>348</v>
      </c>
      <c r="E10" s="197">
        <v>42506</v>
      </c>
      <c r="F10" s="196">
        <v>29774</v>
      </c>
      <c r="I10" s="32"/>
      <c r="J10" s="32"/>
      <c r="K10" s="32"/>
      <c r="M10" s="26"/>
      <c r="N10" s="38"/>
      <c r="O10" s="39"/>
      <c r="P10" s="39"/>
      <c r="Q10" s="39"/>
      <c r="S10" s="40"/>
    </row>
    <row r="11" spans="1:19" ht="15">
      <c r="A11" s="196">
        <v>10</v>
      </c>
      <c r="B11" s="196" t="s">
        <v>467</v>
      </c>
      <c r="C11" s="196" t="s">
        <v>465</v>
      </c>
      <c r="D11" s="196" t="s">
        <v>474</v>
      </c>
      <c r="E11" s="197">
        <v>42202</v>
      </c>
      <c r="F11" s="196">
        <v>25399</v>
      </c>
      <c r="I11" s="32"/>
      <c r="J11" s="32"/>
      <c r="K11" s="32"/>
      <c r="M11" s="26"/>
      <c r="N11" s="38"/>
      <c r="O11" s="39"/>
      <c r="P11" s="39"/>
      <c r="Q11" s="39"/>
      <c r="S11" s="40"/>
    </row>
    <row r="12" spans="1:19" ht="15">
      <c r="A12" s="196">
        <v>11</v>
      </c>
      <c r="B12" s="196" t="s">
        <v>471</v>
      </c>
      <c r="C12" s="196" t="s">
        <v>465</v>
      </c>
      <c r="D12" s="196" t="s">
        <v>474</v>
      </c>
      <c r="E12" s="197">
        <v>42119</v>
      </c>
      <c r="F12" s="196">
        <v>8513</v>
      </c>
      <c r="I12" s="32"/>
      <c r="J12" s="32"/>
      <c r="K12" s="32"/>
      <c r="M12" s="26"/>
      <c r="N12" s="38"/>
      <c r="O12" s="39"/>
      <c r="P12" s="39"/>
      <c r="Q12" s="39"/>
      <c r="S12" s="40"/>
    </row>
    <row r="13" spans="1:19" ht="15">
      <c r="A13" s="196">
        <v>12</v>
      </c>
      <c r="B13" s="196" t="s">
        <v>464</v>
      </c>
      <c r="C13" s="196" t="s">
        <v>468</v>
      </c>
      <c r="D13" s="196" t="s">
        <v>344</v>
      </c>
      <c r="E13" s="197">
        <v>42839</v>
      </c>
      <c r="F13" s="196">
        <v>4010</v>
      </c>
      <c r="M13" s="26"/>
      <c r="N13" s="41"/>
      <c r="O13" s="39"/>
      <c r="P13" s="39"/>
      <c r="Q13" s="39"/>
      <c r="S13" s="40"/>
    </row>
    <row r="14" spans="1:19" ht="15">
      <c r="A14" s="196">
        <v>13</v>
      </c>
      <c r="B14" s="196" t="s">
        <v>473</v>
      </c>
      <c r="C14" s="196" t="s">
        <v>468</v>
      </c>
      <c r="D14" s="196" t="s">
        <v>475</v>
      </c>
      <c r="E14" s="197">
        <v>42658</v>
      </c>
      <c r="F14" s="196">
        <v>4088</v>
      </c>
      <c r="M14" s="26"/>
      <c r="N14" s="38"/>
      <c r="O14" s="39"/>
      <c r="P14" s="39"/>
      <c r="Q14" s="39"/>
      <c r="S14" s="40"/>
    </row>
    <row r="15" spans="1:19" ht="15">
      <c r="A15" s="196">
        <v>14</v>
      </c>
      <c r="B15" s="196" t="s">
        <v>464</v>
      </c>
      <c r="C15" s="196" t="s">
        <v>470</v>
      </c>
      <c r="D15" s="196" t="s">
        <v>339</v>
      </c>
      <c r="E15" s="197">
        <v>42003</v>
      </c>
      <c r="F15" s="196">
        <v>5909</v>
      </c>
      <c r="M15" s="26"/>
      <c r="N15" s="38"/>
      <c r="O15" s="39"/>
      <c r="P15" s="39"/>
      <c r="Q15" s="39"/>
      <c r="S15" s="40"/>
    </row>
    <row r="16" spans="1:19" ht="15">
      <c r="A16" s="196">
        <v>15</v>
      </c>
      <c r="B16" s="196" t="s">
        <v>467</v>
      </c>
      <c r="C16" s="196" t="s">
        <v>468</v>
      </c>
      <c r="D16" s="196" t="s">
        <v>476</v>
      </c>
      <c r="E16" s="197">
        <v>42648</v>
      </c>
      <c r="F16" s="196">
        <v>11633</v>
      </c>
      <c r="M16" s="26"/>
      <c r="N16" s="38"/>
      <c r="O16" s="39"/>
      <c r="P16" s="39"/>
      <c r="Q16" s="39"/>
      <c r="S16" s="40"/>
    </row>
    <row r="17" spans="1:19" ht="15">
      <c r="A17" s="196">
        <v>16</v>
      </c>
      <c r="B17" s="196" t="s">
        <v>464</v>
      </c>
      <c r="C17" s="196" t="s">
        <v>463</v>
      </c>
      <c r="D17" s="196" t="s">
        <v>346</v>
      </c>
      <c r="E17" s="197">
        <v>42357</v>
      </c>
      <c r="F17" s="196">
        <v>29578</v>
      </c>
      <c r="M17" s="26"/>
      <c r="N17" s="38"/>
      <c r="O17" s="39"/>
      <c r="P17" s="39"/>
      <c r="Q17" s="39"/>
      <c r="S17" s="40"/>
    </row>
    <row r="18" spans="1:19" ht="15">
      <c r="A18" s="196">
        <v>17</v>
      </c>
      <c r="B18" s="196" t="s">
        <v>467</v>
      </c>
      <c r="C18" s="196" t="s">
        <v>468</v>
      </c>
      <c r="D18" s="196" t="s">
        <v>475</v>
      </c>
      <c r="E18" s="197">
        <v>42457</v>
      </c>
      <c r="F18" s="196">
        <v>20032</v>
      </c>
      <c r="M18" s="26"/>
      <c r="N18" s="38"/>
      <c r="O18" s="39"/>
      <c r="P18" s="39"/>
      <c r="Q18" s="39"/>
      <c r="S18" s="40"/>
    </row>
    <row r="19" spans="1:19" ht="15">
      <c r="A19" s="196">
        <v>18</v>
      </c>
      <c r="B19" s="196" t="s">
        <v>464</v>
      </c>
      <c r="C19" s="196" t="s">
        <v>463</v>
      </c>
      <c r="D19" s="196" t="s">
        <v>476</v>
      </c>
      <c r="E19" s="197">
        <v>42626</v>
      </c>
      <c r="F19" s="196">
        <v>2237</v>
      </c>
      <c r="M19" s="26"/>
      <c r="N19" s="38"/>
      <c r="O19" s="39"/>
      <c r="Q19" s="39"/>
      <c r="S19" s="40"/>
    </row>
    <row r="20" spans="1:19" ht="15">
      <c r="A20" s="196">
        <v>19</v>
      </c>
      <c r="B20" s="196" t="s">
        <v>467</v>
      </c>
      <c r="C20" s="196" t="s">
        <v>463</v>
      </c>
      <c r="D20" s="196" t="s">
        <v>346</v>
      </c>
      <c r="E20" s="197">
        <v>42113</v>
      </c>
      <c r="F20" s="196">
        <v>11685</v>
      </c>
      <c r="M20" s="26"/>
      <c r="N20" s="38"/>
      <c r="O20" s="39"/>
      <c r="P20" s="39"/>
      <c r="Q20" s="39"/>
      <c r="S20" s="40"/>
    </row>
    <row r="21" spans="1:19" ht="15">
      <c r="A21" s="196">
        <v>20</v>
      </c>
      <c r="B21" s="196" t="s">
        <v>469</v>
      </c>
      <c r="C21" s="196" t="s">
        <v>465</v>
      </c>
      <c r="D21" s="196" t="s">
        <v>474</v>
      </c>
      <c r="E21" s="197">
        <v>42876</v>
      </c>
      <c r="F21" s="196">
        <v>2337</v>
      </c>
      <c r="M21" s="26"/>
      <c r="N21" s="38"/>
      <c r="O21" s="39"/>
      <c r="P21" s="39"/>
      <c r="Q21" s="39"/>
      <c r="S21" s="40"/>
    </row>
    <row r="22" spans="1:19" ht="15">
      <c r="A22" s="196">
        <v>21</v>
      </c>
      <c r="B22" s="196" t="s">
        <v>471</v>
      </c>
      <c r="C22" s="196" t="s">
        <v>468</v>
      </c>
      <c r="D22" s="196" t="s">
        <v>474</v>
      </c>
      <c r="E22" s="197">
        <v>42645</v>
      </c>
      <c r="F22" s="196">
        <v>16653</v>
      </c>
      <c r="M22" s="26"/>
      <c r="N22" s="38"/>
      <c r="O22" s="39"/>
      <c r="P22" s="39"/>
      <c r="Q22" s="39"/>
      <c r="S22" s="40"/>
    </row>
    <row r="23" spans="1:19" ht="15">
      <c r="A23" s="196">
        <v>22</v>
      </c>
      <c r="B23" s="196" t="s">
        <v>469</v>
      </c>
      <c r="C23" s="196" t="s">
        <v>463</v>
      </c>
      <c r="D23" s="196" t="s">
        <v>466</v>
      </c>
      <c r="E23" s="197">
        <v>42610</v>
      </c>
      <c r="F23" s="196">
        <v>2715</v>
      </c>
      <c r="M23" s="26"/>
      <c r="N23" s="38"/>
      <c r="O23" s="39"/>
      <c r="P23" s="39"/>
      <c r="Q23" s="39"/>
      <c r="S23" s="40"/>
    </row>
    <row r="24" spans="1:19" ht="15">
      <c r="A24" s="196">
        <v>23</v>
      </c>
      <c r="B24" s="196" t="s">
        <v>464</v>
      </c>
      <c r="C24" s="196" t="s">
        <v>465</v>
      </c>
      <c r="D24" s="196" t="s">
        <v>350</v>
      </c>
      <c r="E24" s="197">
        <v>42805</v>
      </c>
      <c r="F24" s="196">
        <v>25914</v>
      </c>
      <c r="M24" s="26"/>
      <c r="N24" s="38"/>
      <c r="O24" s="39"/>
      <c r="P24" s="39"/>
      <c r="Q24" s="39"/>
      <c r="S24" s="40"/>
    </row>
    <row r="25" spans="1:19" ht="15">
      <c r="A25" s="196">
        <v>24</v>
      </c>
      <c r="B25" s="196" t="s">
        <v>471</v>
      </c>
      <c r="C25" s="196" t="s">
        <v>468</v>
      </c>
      <c r="D25" s="196" t="s">
        <v>472</v>
      </c>
      <c r="E25" s="197">
        <v>42480</v>
      </c>
      <c r="F25" s="196">
        <v>1801</v>
      </c>
      <c r="M25" s="26"/>
      <c r="N25" s="38"/>
      <c r="O25" s="39"/>
      <c r="P25" s="39"/>
      <c r="Q25" s="39"/>
      <c r="S25" s="40"/>
    </row>
    <row r="26" spans="1:19" ht="15">
      <c r="A26" s="196">
        <v>25</v>
      </c>
      <c r="B26" s="196" t="s">
        <v>464</v>
      </c>
      <c r="C26" s="196" t="s">
        <v>465</v>
      </c>
      <c r="D26" s="196" t="s">
        <v>475</v>
      </c>
      <c r="E26" s="197">
        <v>42822</v>
      </c>
      <c r="F26" s="196">
        <v>18599</v>
      </c>
      <c r="M26" s="26"/>
      <c r="N26" s="38"/>
      <c r="O26" s="39"/>
      <c r="P26" s="39"/>
      <c r="Q26" s="39"/>
      <c r="S26" s="40"/>
    </row>
    <row r="27" spans="1:19" ht="15">
      <c r="A27" s="196">
        <v>26</v>
      </c>
      <c r="B27" s="196" t="s">
        <v>464</v>
      </c>
      <c r="C27" s="196" t="s">
        <v>468</v>
      </c>
      <c r="D27" s="196" t="s">
        <v>477</v>
      </c>
      <c r="E27" s="197">
        <v>41940</v>
      </c>
      <c r="F27" s="196">
        <v>16937</v>
      </c>
      <c r="M27" s="26"/>
      <c r="N27" s="38"/>
      <c r="O27" s="39"/>
      <c r="P27" s="39"/>
      <c r="Q27" s="39"/>
      <c r="S27" s="40"/>
    </row>
    <row r="28" spans="1:19" ht="15">
      <c r="A28" s="196">
        <v>27</v>
      </c>
      <c r="B28" s="196" t="s">
        <v>467</v>
      </c>
      <c r="C28" s="196" t="s">
        <v>465</v>
      </c>
      <c r="D28" s="196" t="s">
        <v>478</v>
      </c>
      <c r="E28" s="197">
        <v>42405</v>
      </c>
      <c r="F28" s="196">
        <v>26837</v>
      </c>
      <c r="M28" s="26"/>
      <c r="N28" s="38"/>
      <c r="O28" s="39"/>
      <c r="P28" s="39"/>
      <c r="Q28" s="39"/>
      <c r="S28" s="40"/>
    </row>
    <row r="29" spans="1:19" ht="15">
      <c r="A29" s="196">
        <v>28</v>
      </c>
      <c r="B29" s="196" t="s">
        <v>469</v>
      </c>
      <c r="C29" s="196" t="s">
        <v>465</v>
      </c>
      <c r="D29" s="196" t="s">
        <v>475</v>
      </c>
      <c r="E29" s="197">
        <v>42045</v>
      </c>
      <c r="F29" s="196">
        <v>9655</v>
      </c>
      <c r="M29" s="26"/>
      <c r="N29" s="38"/>
      <c r="O29" s="39"/>
      <c r="P29" s="39"/>
      <c r="Q29" s="39"/>
      <c r="S29" s="40"/>
    </row>
    <row r="30" spans="1:19" ht="15">
      <c r="A30" s="196">
        <v>29</v>
      </c>
      <c r="B30" s="196" t="s">
        <v>462</v>
      </c>
      <c r="C30" s="196" t="s">
        <v>468</v>
      </c>
      <c r="D30" s="196" t="s">
        <v>475</v>
      </c>
      <c r="E30" s="197">
        <v>42632</v>
      </c>
      <c r="F30" s="196">
        <v>12681</v>
      </c>
      <c r="M30" s="26"/>
      <c r="N30" s="38"/>
      <c r="O30" s="39"/>
      <c r="P30" s="39"/>
      <c r="Q30" s="39"/>
      <c r="S30" s="40"/>
    </row>
    <row r="31" spans="1:19" ht="15">
      <c r="A31" s="196">
        <v>30</v>
      </c>
      <c r="B31" s="196" t="s">
        <v>464</v>
      </c>
      <c r="C31" s="196" t="s">
        <v>470</v>
      </c>
      <c r="D31" s="196" t="s">
        <v>339</v>
      </c>
      <c r="E31" s="197">
        <v>42239</v>
      </c>
      <c r="F31" s="196">
        <v>19718</v>
      </c>
      <c r="M31" s="26"/>
      <c r="N31" s="38"/>
      <c r="O31" s="39"/>
      <c r="P31" s="39"/>
      <c r="Q31" s="39"/>
      <c r="S31" s="40"/>
    </row>
    <row r="32" spans="1:19" ht="15">
      <c r="A32" s="196">
        <v>31</v>
      </c>
      <c r="B32" s="196" t="s">
        <v>469</v>
      </c>
      <c r="C32" s="196" t="s">
        <v>468</v>
      </c>
      <c r="D32" s="196" t="s">
        <v>476</v>
      </c>
      <c r="E32" s="197">
        <v>42324</v>
      </c>
      <c r="F32" s="196">
        <v>6117</v>
      </c>
      <c r="M32" s="26"/>
      <c r="N32" s="38"/>
      <c r="O32" s="39"/>
      <c r="P32" s="39"/>
      <c r="Q32" s="39"/>
      <c r="S32" s="40"/>
    </row>
    <row r="33" spans="1:19" ht="15">
      <c r="A33" s="196">
        <v>32</v>
      </c>
      <c r="B33" s="196" t="s">
        <v>473</v>
      </c>
      <c r="C33" s="196" t="s">
        <v>465</v>
      </c>
      <c r="D33" s="196" t="s">
        <v>479</v>
      </c>
      <c r="E33" s="197">
        <v>42844</v>
      </c>
      <c r="F33" s="196">
        <v>6398</v>
      </c>
      <c r="M33" s="26"/>
      <c r="N33" s="38"/>
      <c r="O33" s="39"/>
      <c r="P33" s="39"/>
      <c r="Q33" s="39"/>
      <c r="S33" s="40"/>
    </row>
    <row r="34" spans="1:19" ht="15">
      <c r="A34" s="159">
        <v>33</v>
      </c>
      <c r="B34" s="196" t="s">
        <v>464</v>
      </c>
      <c r="C34" s="196" t="s">
        <v>470</v>
      </c>
      <c r="D34" s="196" t="s">
        <v>348</v>
      </c>
      <c r="E34" s="197">
        <v>42451</v>
      </c>
      <c r="F34" s="196">
        <v>15118</v>
      </c>
      <c r="M34" s="26"/>
      <c r="N34" s="38"/>
      <c r="O34" s="39"/>
      <c r="P34" s="39"/>
      <c r="Q34" s="39"/>
      <c r="S34" s="40"/>
    </row>
    <row r="35" spans="1:19" ht="15">
      <c r="A35" s="196">
        <v>34</v>
      </c>
      <c r="B35" s="196" t="s">
        <v>462</v>
      </c>
      <c r="C35" s="196" t="s">
        <v>470</v>
      </c>
      <c r="D35" s="196" t="s">
        <v>344</v>
      </c>
      <c r="E35" s="197">
        <v>42591</v>
      </c>
      <c r="F35" s="196">
        <v>9449</v>
      </c>
      <c r="M35" s="26"/>
      <c r="N35" s="38"/>
      <c r="O35" s="39"/>
      <c r="P35" s="39"/>
      <c r="Q35" s="39"/>
      <c r="S35" s="40"/>
    </row>
    <row r="36" spans="1:19" ht="15">
      <c r="A36" s="196">
        <v>35</v>
      </c>
      <c r="B36" s="196" t="s">
        <v>464</v>
      </c>
      <c r="C36" s="196" t="s">
        <v>463</v>
      </c>
      <c r="D36" s="196" t="s">
        <v>466</v>
      </c>
      <c r="E36" s="197">
        <v>42869</v>
      </c>
      <c r="F36" s="196">
        <v>19181</v>
      </c>
      <c r="M36" s="26"/>
      <c r="N36" s="38"/>
      <c r="O36" s="39"/>
      <c r="P36" s="39"/>
      <c r="Q36" s="39"/>
      <c r="S36" s="40"/>
    </row>
    <row r="37" spans="1:19" ht="15">
      <c r="A37" s="196">
        <v>36</v>
      </c>
      <c r="B37" s="196" t="s">
        <v>467</v>
      </c>
      <c r="C37" s="196" t="s">
        <v>470</v>
      </c>
      <c r="D37" s="196" t="s">
        <v>348</v>
      </c>
      <c r="E37" s="197">
        <v>42207</v>
      </c>
      <c r="F37" s="196">
        <v>20903</v>
      </c>
      <c r="M37" s="26"/>
      <c r="N37" s="38"/>
      <c r="O37" s="39"/>
      <c r="P37" s="39"/>
      <c r="Q37" s="39"/>
      <c r="S37" s="40"/>
    </row>
    <row r="38" spans="1:19" ht="15">
      <c r="A38" s="196">
        <v>37</v>
      </c>
      <c r="B38" s="196" t="s">
        <v>467</v>
      </c>
      <c r="C38" s="196" t="s">
        <v>465</v>
      </c>
      <c r="D38" s="196" t="s">
        <v>479</v>
      </c>
      <c r="E38" s="197">
        <v>42486</v>
      </c>
      <c r="F38" s="196">
        <v>12607</v>
      </c>
      <c r="M38" s="26"/>
      <c r="N38" s="38"/>
      <c r="O38" s="39"/>
      <c r="P38" s="39"/>
      <c r="Q38" s="39"/>
      <c r="S38" s="40"/>
    </row>
    <row r="39" spans="1:19" ht="15">
      <c r="A39" s="196">
        <v>38</v>
      </c>
      <c r="B39" s="196" t="s">
        <v>464</v>
      </c>
      <c r="C39" s="196" t="s">
        <v>465</v>
      </c>
      <c r="D39" s="196" t="s">
        <v>474</v>
      </c>
      <c r="E39" s="197">
        <v>41964</v>
      </c>
      <c r="F39" s="196">
        <v>29402</v>
      </c>
      <c r="M39" s="26"/>
      <c r="N39" s="38"/>
      <c r="O39" s="39"/>
      <c r="P39" s="39"/>
      <c r="Q39" s="39"/>
      <c r="S39" s="40"/>
    </row>
    <row r="40" spans="1:19" ht="15">
      <c r="A40" s="196">
        <v>39</v>
      </c>
      <c r="B40" s="196" t="s">
        <v>471</v>
      </c>
      <c r="C40" s="196" t="s">
        <v>463</v>
      </c>
      <c r="D40" s="196" t="s">
        <v>466</v>
      </c>
      <c r="E40" s="197">
        <v>42226</v>
      </c>
      <c r="F40" s="196">
        <v>16966</v>
      </c>
      <c r="M40" s="26"/>
      <c r="N40" s="38"/>
      <c r="O40" s="39"/>
      <c r="Q40" s="39"/>
      <c r="S40" s="40"/>
    </row>
    <row r="41" spans="1:19" ht="15">
      <c r="A41" s="159">
        <v>40</v>
      </c>
      <c r="B41" s="196" t="s">
        <v>464</v>
      </c>
      <c r="C41" s="196" t="s">
        <v>470</v>
      </c>
      <c r="D41" s="196" t="s">
        <v>344</v>
      </c>
      <c r="E41" s="197">
        <v>42455</v>
      </c>
      <c r="F41" s="196">
        <v>15216</v>
      </c>
      <c r="M41" s="26"/>
      <c r="N41" s="38"/>
      <c r="O41" s="39"/>
      <c r="P41" s="39"/>
      <c r="Q41" s="39"/>
      <c r="S41" s="40"/>
    </row>
    <row r="42" spans="1:19" ht="15">
      <c r="A42" s="196">
        <v>41</v>
      </c>
      <c r="B42" s="196" t="s">
        <v>469</v>
      </c>
      <c r="C42" s="196" t="s">
        <v>463</v>
      </c>
      <c r="D42" s="196" t="s">
        <v>477</v>
      </c>
      <c r="E42" s="197">
        <v>42505</v>
      </c>
      <c r="F42" s="196">
        <v>1137</v>
      </c>
      <c r="M42" s="26"/>
      <c r="N42" s="38"/>
      <c r="O42" s="39"/>
      <c r="P42" s="39"/>
      <c r="Q42" s="39"/>
      <c r="S42" s="40"/>
    </row>
    <row r="43" spans="1:19" ht="15">
      <c r="A43" s="196">
        <v>42</v>
      </c>
      <c r="B43" s="196" t="s">
        <v>473</v>
      </c>
      <c r="C43" s="196" t="s">
        <v>465</v>
      </c>
      <c r="D43" s="196" t="s">
        <v>477</v>
      </c>
      <c r="E43" s="197">
        <v>42201</v>
      </c>
      <c r="F43" s="196">
        <v>1701</v>
      </c>
      <c r="M43" s="26"/>
      <c r="N43" s="38"/>
      <c r="O43" s="39"/>
      <c r="P43" s="39"/>
      <c r="Q43" s="39"/>
      <c r="S43" s="40"/>
    </row>
    <row r="44" spans="1:19" ht="15">
      <c r="A44" s="196">
        <v>43</v>
      </c>
      <c r="B44" s="196" t="s">
        <v>462</v>
      </c>
      <c r="C44" s="196" t="s">
        <v>465</v>
      </c>
      <c r="D44" s="196" t="s">
        <v>479</v>
      </c>
      <c r="E44" s="197">
        <v>41977</v>
      </c>
      <c r="F44" s="196">
        <v>14359</v>
      </c>
      <c r="M44" s="26"/>
      <c r="N44" s="38"/>
      <c r="O44" s="39"/>
      <c r="P44" s="39"/>
      <c r="Q44" s="39"/>
      <c r="S44" s="40"/>
    </row>
    <row r="45" spans="1:19" ht="15">
      <c r="A45" s="196">
        <v>44</v>
      </c>
      <c r="B45" s="196" t="s">
        <v>473</v>
      </c>
      <c r="C45" s="196" t="s">
        <v>470</v>
      </c>
      <c r="D45" s="196" t="s">
        <v>480</v>
      </c>
      <c r="E45" s="197">
        <v>41913</v>
      </c>
      <c r="F45" s="196">
        <v>232</v>
      </c>
      <c r="M45" s="26"/>
      <c r="N45" s="38"/>
      <c r="O45" s="39"/>
      <c r="P45" s="39"/>
      <c r="Q45" s="39"/>
      <c r="S45" s="40"/>
    </row>
    <row r="46" spans="1:19" ht="15">
      <c r="A46" s="196">
        <v>45</v>
      </c>
      <c r="B46" s="196" t="s">
        <v>473</v>
      </c>
      <c r="C46" s="196" t="s">
        <v>468</v>
      </c>
      <c r="D46" s="196" t="s">
        <v>476</v>
      </c>
      <c r="E46" s="197">
        <v>42046</v>
      </c>
      <c r="F46" s="196">
        <v>17808</v>
      </c>
      <c r="M46" s="26"/>
      <c r="N46" s="38"/>
      <c r="O46" s="39"/>
      <c r="P46" s="39"/>
      <c r="Q46" s="39"/>
      <c r="S46" s="40"/>
    </row>
    <row r="47" spans="1:19" ht="15">
      <c r="A47" s="196">
        <v>46</v>
      </c>
      <c r="B47" s="196" t="s">
        <v>469</v>
      </c>
      <c r="C47" s="196" t="s">
        <v>463</v>
      </c>
      <c r="D47" s="196" t="s">
        <v>348</v>
      </c>
      <c r="E47" s="197">
        <v>42827</v>
      </c>
      <c r="F47" s="196">
        <v>4714</v>
      </c>
      <c r="M47" s="26"/>
      <c r="N47" s="38"/>
      <c r="O47" s="39"/>
      <c r="P47" s="39"/>
      <c r="Q47" s="39"/>
      <c r="S47" s="40"/>
    </row>
    <row r="48" spans="1:19" ht="15">
      <c r="A48" s="196">
        <v>47</v>
      </c>
      <c r="B48" s="196" t="s">
        <v>473</v>
      </c>
      <c r="C48" s="196" t="s">
        <v>463</v>
      </c>
      <c r="D48" s="196" t="s">
        <v>466</v>
      </c>
      <c r="E48" s="197">
        <v>41899</v>
      </c>
      <c r="F48" s="196">
        <v>16966</v>
      </c>
      <c r="M48" s="26"/>
      <c r="N48" s="38"/>
      <c r="O48" s="39"/>
      <c r="P48" s="39"/>
      <c r="Q48" s="39"/>
      <c r="S48" s="40"/>
    </row>
    <row r="49" spans="1:19" ht="15">
      <c r="A49" s="196">
        <v>48</v>
      </c>
      <c r="B49" s="196" t="s">
        <v>462</v>
      </c>
      <c r="C49" s="196" t="s">
        <v>468</v>
      </c>
      <c r="D49" s="196" t="s">
        <v>476</v>
      </c>
      <c r="E49" s="197">
        <v>42526</v>
      </c>
      <c r="F49" s="196">
        <v>14283</v>
      </c>
      <c r="M49" s="26"/>
      <c r="N49" s="38"/>
      <c r="O49" s="39"/>
      <c r="P49" s="39"/>
      <c r="Q49" s="39"/>
      <c r="S49" s="40"/>
    </row>
    <row r="50" spans="1:19" ht="15">
      <c r="A50" s="196">
        <v>49</v>
      </c>
      <c r="B50" s="196" t="s">
        <v>471</v>
      </c>
      <c r="C50" s="196" t="s">
        <v>463</v>
      </c>
      <c r="D50" s="196" t="s">
        <v>474</v>
      </c>
      <c r="E50" s="197">
        <v>42711</v>
      </c>
      <c r="F50" s="196">
        <v>1225</v>
      </c>
      <c r="M50" s="26"/>
      <c r="N50" s="38"/>
      <c r="O50" s="39"/>
      <c r="P50" s="39"/>
      <c r="Q50" s="39"/>
      <c r="S50" s="40"/>
    </row>
    <row r="51" spans="1:19" ht="15">
      <c r="A51" s="196">
        <v>50</v>
      </c>
      <c r="B51" s="196" t="s">
        <v>469</v>
      </c>
      <c r="C51" s="196" t="s">
        <v>468</v>
      </c>
      <c r="D51" s="196" t="s">
        <v>346</v>
      </c>
      <c r="E51" s="197">
        <v>42576</v>
      </c>
      <c r="F51" s="196">
        <v>11185</v>
      </c>
      <c r="M51" s="26"/>
      <c r="N51" s="38"/>
      <c r="O51" s="39"/>
      <c r="P51" s="39"/>
      <c r="Q51" s="39"/>
      <c r="S51" s="40"/>
    </row>
    <row r="52" spans="1:19" ht="15">
      <c r="A52" s="159">
        <v>51</v>
      </c>
      <c r="B52" s="196" t="s">
        <v>473</v>
      </c>
      <c r="C52" s="196" t="s">
        <v>465</v>
      </c>
      <c r="D52" s="196" t="s">
        <v>344</v>
      </c>
      <c r="E52" s="197">
        <v>42739</v>
      </c>
      <c r="F52" s="196">
        <v>18473</v>
      </c>
      <c r="M52" s="26"/>
      <c r="N52" s="38"/>
      <c r="O52" s="39"/>
      <c r="P52" s="39"/>
      <c r="Q52" s="39"/>
      <c r="S52" s="40"/>
    </row>
    <row r="53" spans="1:19" ht="15">
      <c r="A53" s="196">
        <v>52</v>
      </c>
      <c r="B53" s="196" t="s">
        <v>464</v>
      </c>
      <c r="C53" s="196" t="s">
        <v>463</v>
      </c>
      <c r="D53" s="196" t="s">
        <v>472</v>
      </c>
      <c r="E53" s="197">
        <v>42376</v>
      </c>
      <c r="F53" s="196">
        <v>22813</v>
      </c>
      <c r="M53" s="26"/>
      <c r="N53" s="38"/>
      <c r="O53" s="39"/>
      <c r="P53" s="39"/>
      <c r="Q53" s="39"/>
      <c r="S53" s="40"/>
    </row>
    <row r="54" spans="1:19" ht="15">
      <c r="A54" s="196">
        <v>53</v>
      </c>
      <c r="B54" s="196" t="s">
        <v>462</v>
      </c>
      <c r="C54" s="196" t="s">
        <v>470</v>
      </c>
      <c r="D54" s="196" t="s">
        <v>474</v>
      </c>
      <c r="E54" s="197">
        <v>42628</v>
      </c>
      <c r="F54" s="196">
        <v>24008</v>
      </c>
      <c r="M54" s="26"/>
      <c r="N54" s="38"/>
      <c r="O54" s="39"/>
      <c r="P54" s="39"/>
      <c r="Q54" s="39"/>
      <c r="S54" s="40"/>
    </row>
    <row r="55" spans="1:19" ht="15">
      <c r="A55" s="196">
        <v>54</v>
      </c>
      <c r="B55" s="196" t="s">
        <v>471</v>
      </c>
      <c r="C55" s="196" t="s">
        <v>465</v>
      </c>
      <c r="D55" s="196" t="s">
        <v>475</v>
      </c>
      <c r="E55" s="197">
        <v>41902</v>
      </c>
      <c r="F55" s="196">
        <v>11884</v>
      </c>
      <c r="M55" s="26"/>
      <c r="N55" s="38"/>
      <c r="O55" s="39"/>
      <c r="P55" s="39"/>
      <c r="Q55" s="39"/>
      <c r="S55" s="40"/>
    </row>
    <row r="56" spans="1:19" ht="15">
      <c r="A56" s="196">
        <v>55</v>
      </c>
      <c r="B56" s="196" t="s">
        <v>471</v>
      </c>
      <c r="C56" s="196" t="s">
        <v>470</v>
      </c>
      <c r="D56" s="196" t="s">
        <v>480</v>
      </c>
      <c r="E56" s="197">
        <v>42330</v>
      </c>
      <c r="F56" s="196">
        <v>232</v>
      </c>
      <c r="M56" s="26"/>
      <c r="N56" s="38"/>
      <c r="O56" s="39"/>
      <c r="P56" s="39"/>
      <c r="Q56" s="39"/>
      <c r="S56" s="40"/>
    </row>
    <row r="57" spans="1:19" ht="15">
      <c r="A57" s="196">
        <v>56</v>
      </c>
      <c r="B57" s="196" t="s">
        <v>469</v>
      </c>
      <c r="C57" s="196" t="s">
        <v>468</v>
      </c>
      <c r="D57" s="196" t="s">
        <v>475</v>
      </c>
      <c r="E57" s="197">
        <v>42493</v>
      </c>
      <c r="F57" s="196">
        <v>24906</v>
      </c>
      <c r="M57" s="26"/>
      <c r="N57" s="38"/>
      <c r="O57" s="39"/>
      <c r="P57" s="39"/>
      <c r="Q57" s="39"/>
      <c r="S57" s="40"/>
    </row>
    <row r="58" spans="1:19" ht="15">
      <c r="A58" s="196">
        <v>57</v>
      </c>
      <c r="B58" s="196" t="s">
        <v>471</v>
      </c>
      <c r="C58" s="196" t="s">
        <v>468</v>
      </c>
      <c r="D58" s="196" t="s">
        <v>480</v>
      </c>
      <c r="E58" s="197">
        <v>42315</v>
      </c>
      <c r="F58" s="196">
        <v>8043</v>
      </c>
      <c r="M58" s="26"/>
      <c r="N58" s="38"/>
      <c r="O58" s="39"/>
      <c r="P58" s="39"/>
      <c r="Q58" s="39"/>
      <c r="S58" s="40"/>
    </row>
    <row r="59" spans="1:19" ht="15">
      <c r="A59" s="196">
        <v>58</v>
      </c>
      <c r="B59" s="196" t="s">
        <v>473</v>
      </c>
      <c r="C59" s="196" t="s">
        <v>463</v>
      </c>
      <c r="D59" s="196" t="s">
        <v>344</v>
      </c>
      <c r="E59" s="197">
        <v>42327</v>
      </c>
      <c r="F59" s="196">
        <v>5326</v>
      </c>
      <c r="M59" s="26"/>
      <c r="N59" s="38"/>
      <c r="O59" s="39"/>
      <c r="P59" s="39"/>
      <c r="Q59" s="39"/>
      <c r="S59" s="40"/>
    </row>
    <row r="60" spans="1:19" ht="15">
      <c r="A60" s="196">
        <v>59</v>
      </c>
      <c r="B60" s="196" t="s">
        <v>471</v>
      </c>
      <c r="C60" s="196" t="s">
        <v>465</v>
      </c>
      <c r="D60" s="196" t="s">
        <v>479</v>
      </c>
      <c r="E60" s="197">
        <v>42153</v>
      </c>
      <c r="F60" s="196">
        <v>6398</v>
      </c>
      <c r="M60" s="26"/>
      <c r="N60" s="38"/>
      <c r="O60" s="39"/>
      <c r="P60" s="39"/>
      <c r="Q60" s="39"/>
      <c r="S60" s="40"/>
    </row>
    <row r="61" spans="1:19" ht="15">
      <c r="A61" s="196">
        <v>60</v>
      </c>
      <c r="B61" s="196" t="s">
        <v>467</v>
      </c>
      <c r="C61" s="196" t="s">
        <v>470</v>
      </c>
      <c r="D61" s="196" t="s">
        <v>339</v>
      </c>
      <c r="E61" s="197">
        <v>42188</v>
      </c>
      <c r="F61" s="196">
        <v>26292</v>
      </c>
      <c r="M61" s="26"/>
      <c r="N61" s="38"/>
      <c r="O61" s="39"/>
      <c r="P61" s="39"/>
      <c r="Q61" s="39"/>
      <c r="S61" s="40"/>
    </row>
    <row r="62" spans="1:19" ht="15">
      <c r="A62" s="196">
        <v>61</v>
      </c>
      <c r="B62" s="196" t="s">
        <v>469</v>
      </c>
      <c r="C62" s="196" t="s">
        <v>463</v>
      </c>
      <c r="D62" s="196" t="s">
        <v>346</v>
      </c>
      <c r="E62" s="197">
        <v>42148</v>
      </c>
      <c r="F62" s="196">
        <v>27419</v>
      </c>
      <c r="M62" s="26"/>
      <c r="N62" s="38"/>
      <c r="O62" s="39"/>
      <c r="P62" s="39"/>
      <c r="Q62" s="39"/>
      <c r="S62" s="40"/>
    </row>
    <row r="63" spans="1:19" ht="15">
      <c r="A63" s="196">
        <v>62</v>
      </c>
      <c r="B63" s="196" t="s">
        <v>467</v>
      </c>
      <c r="C63" s="196" t="s">
        <v>468</v>
      </c>
      <c r="D63" s="196" t="s">
        <v>479</v>
      </c>
      <c r="E63" s="197">
        <v>42718</v>
      </c>
      <c r="F63" s="196">
        <v>22078</v>
      </c>
      <c r="M63" s="26"/>
      <c r="N63" s="38"/>
      <c r="O63" s="39"/>
      <c r="P63" s="39"/>
      <c r="Q63" s="39"/>
      <c r="S63" s="40"/>
    </row>
    <row r="64" spans="1:19" ht="15">
      <c r="A64" s="196">
        <v>63</v>
      </c>
      <c r="B64" s="196" t="s">
        <v>462</v>
      </c>
      <c r="C64" s="196" t="s">
        <v>465</v>
      </c>
      <c r="D64" s="196" t="s">
        <v>477</v>
      </c>
      <c r="E64" s="197">
        <v>42154</v>
      </c>
      <c r="F64" s="196">
        <v>10349</v>
      </c>
      <c r="M64" s="26"/>
      <c r="N64" s="38"/>
      <c r="O64" s="39"/>
      <c r="P64" s="39"/>
      <c r="Q64" s="39"/>
      <c r="S64" s="40"/>
    </row>
    <row r="65" spans="1:19" ht="15">
      <c r="A65" s="196">
        <v>64</v>
      </c>
      <c r="B65" s="196" t="s">
        <v>467</v>
      </c>
      <c r="C65" s="196" t="s">
        <v>465</v>
      </c>
      <c r="D65" s="196" t="s">
        <v>479</v>
      </c>
      <c r="E65" s="197">
        <v>42897</v>
      </c>
      <c r="F65" s="196">
        <v>2920</v>
      </c>
      <c r="M65" s="26"/>
      <c r="N65" s="38"/>
      <c r="O65" s="39"/>
      <c r="P65" s="39"/>
      <c r="Q65" s="39"/>
      <c r="S65" s="40"/>
    </row>
    <row r="66" spans="1:19" ht="15">
      <c r="A66" s="196">
        <v>65</v>
      </c>
      <c r="B66" s="196" t="s">
        <v>469</v>
      </c>
      <c r="C66" s="196" t="s">
        <v>463</v>
      </c>
      <c r="D66" s="196" t="s">
        <v>476</v>
      </c>
      <c r="E66" s="197">
        <v>42620</v>
      </c>
      <c r="F66" s="196">
        <v>22939</v>
      </c>
      <c r="M66" s="26"/>
      <c r="N66" s="38"/>
      <c r="O66" s="39"/>
      <c r="P66" s="39"/>
      <c r="Q66" s="39"/>
      <c r="S66" s="40"/>
    </row>
    <row r="67" spans="1:19" ht="15">
      <c r="A67" s="196">
        <v>66</v>
      </c>
      <c r="B67" s="196" t="s">
        <v>469</v>
      </c>
      <c r="C67" s="196" t="s">
        <v>463</v>
      </c>
      <c r="D67" s="196" t="s">
        <v>474</v>
      </c>
      <c r="E67" s="197">
        <v>42874</v>
      </c>
      <c r="F67" s="196">
        <v>5494</v>
      </c>
      <c r="M67" s="26"/>
      <c r="N67" s="38"/>
      <c r="O67" s="39"/>
      <c r="Q67" s="39"/>
      <c r="S67" s="40"/>
    </row>
    <row r="68" spans="1:19" ht="15">
      <c r="A68" s="196">
        <v>67</v>
      </c>
      <c r="B68" s="196" t="s">
        <v>471</v>
      </c>
      <c r="C68" s="196" t="s">
        <v>463</v>
      </c>
      <c r="D68" s="196" t="s">
        <v>346</v>
      </c>
      <c r="E68" s="197">
        <v>42076</v>
      </c>
      <c r="F68" s="196">
        <v>11105</v>
      </c>
      <c r="M68" s="26"/>
      <c r="N68" s="38"/>
      <c r="O68" s="39"/>
      <c r="P68" s="39"/>
      <c r="Q68" s="39"/>
      <c r="S68" s="40"/>
    </row>
    <row r="69" spans="1:19" ht="15">
      <c r="A69" s="196">
        <v>68</v>
      </c>
      <c r="B69" s="196" t="s">
        <v>464</v>
      </c>
      <c r="C69" s="196" t="s">
        <v>463</v>
      </c>
      <c r="D69" s="196" t="s">
        <v>475</v>
      </c>
      <c r="E69" s="197">
        <v>42833</v>
      </c>
      <c r="F69" s="196">
        <v>7140</v>
      </c>
      <c r="M69" s="26"/>
      <c r="N69" s="38"/>
      <c r="O69" s="39"/>
      <c r="P69" s="39"/>
      <c r="Q69" s="39"/>
      <c r="S69" s="40"/>
    </row>
    <row r="70" spans="1:19" ht="15">
      <c r="A70" s="196">
        <v>69</v>
      </c>
      <c r="B70" s="196" t="s">
        <v>469</v>
      </c>
      <c r="C70" s="196" t="s">
        <v>463</v>
      </c>
      <c r="D70" s="196" t="s">
        <v>472</v>
      </c>
      <c r="E70" s="197">
        <v>42442</v>
      </c>
      <c r="F70" s="196">
        <v>22611</v>
      </c>
      <c r="M70" s="26"/>
      <c r="N70" s="38"/>
      <c r="O70" s="39"/>
      <c r="Q70" s="39"/>
      <c r="S70" s="40"/>
    </row>
    <row r="71" spans="1:19" ht="15">
      <c r="A71" s="196">
        <v>70</v>
      </c>
      <c r="B71" s="196" t="s">
        <v>473</v>
      </c>
      <c r="C71" s="196" t="s">
        <v>465</v>
      </c>
      <c r="D71" s="196" t="s">
        <v>479</v>
      </c>
      <c r="E71" s="197">
        <v>42260</v>
      </c>
      <c r="F71" s="196">
        <v>4474</v>
      </c>
      <c r="M71" s="26"/>
      <c r="N71" s="38"/>
      <c r="O71" s="39"/>
      <c r="P71" s="39"/>
      <c r="Q71" s="39"/>
      <c r="S71" s="40"/>
    </row>
    <row r="72" spans="1:19" ht="15">
      <c r="A72" s="196">
        <v>71</v>
      </c>
      <c r="B72" s="196" t="s">
        <v>467</v>
      </c>
      <c r="C72" s="196" t="s">
        <v>470</v>
      </c>
      <c r="D72" s="196" t="s">
        <v>339</v>
      </c>
      <c r="E72" s="197">
        <v>42514</v>
      </c>
      <c r="F72" s="196">
        <v>16592</v>
      </c>
      <c r="M72" s="26"/>
      <c r="N72" s="38"/>
      <c r="O72" s="39"/>
      <c r="P72" s="39"/>
      <c r="Q72" s="39"/>
      <c r="S72" s="40"/>
    </row>
    <row r="73" spans="1:19" ht="15">
      <c r="A73" s="196">
        <v>72</v>
      </c>
      <c r="B73" s="196" t="s">
        <v>462</v>
      </c>
      <c r="C73" s="196" t="s">
        <v>470</v>
      </c>
      <c r="D73" s="196" t="s">
        <v>339</v>
      </c>
      <c r="E73" s="197">
        <v>42092</v>
      </c>
      <c r="F73" s="196">
        <v>12306</v>
      </c>
      <c r="M73" s="26"/>
      <c r="N73" s="38"/>
      <c r="O73" s="39"/>
      <c r="P73" s="39"/>
      <c r="Q73" s="39"/>
      <c r="S73" s="40"/>
    </row>
    <row r="74" spans="1:19" ht="15">
      <c r="A74" s="196">
        <v>73</v>
      </c>
      <c r="B74" s="196" t="s">
        <v>473</v>
      </c>
      <c r="C74" s="196" t="s">
        <v>463</v>
      </c>
      <c r="D74" s="196" t="s">
        <v>477</v>
      </c>
      <c r="E74" s="197">
        <v>41914</v>
      </c>
      <c r="F74" s="196">
        <v>14751</v>
      </c>
      <c r="M74" s="26"/>
      <c r="N74" s="38"/>
      <c r="O74" s="39"/>
      <c r="P74" s="39"/>
      <c r="Q74" s="39"/>
      <c r="S74" s="40"/>
    </row>
    <row r="75" spans="1:19" ht="15">
      <c r="A75" s="196">
        <v>74</v>
      </c>
      <c r="B75" s="196" t="s">
        <v>462</v>
      </c>
      <c r="C75" s="196" t="s">
        <v>468</v>
      </c>
      <c r="D75" s="196" t="s">
        <v>480</v>
      </c>
      <c r="E75" s="197">
        <v>42224</v>
      </c>
      <c r="F75" s="196">
        <v>8074</v>
      </c>
      <c r="M75" s="26"/>
      <c r="N75" s="38"/>
      <c r="O75" s="39"/>
      <c r="P75" s="39"/>
      <c r="Q75" s="39"/>
      <c r="S75" s="40"/>
    </row>
    <row r="76" spans="1:19" ht="15">
      <c r="A76" s="196">
        <v>75</v>
      </c>
      <c r="B76" s="196" t="s">
        <v>462</v>
      </c>
      <c r="C76" s="196" t="s">
        <v>463</v>
      </c>
      <c r="D76" s="196" t="s">
        <v>339</v>
      </c>
      <c r="E76" s="197">
        <v>42511</v>
      </c>
      <c r="F76" s="196">
        <v>8607</v>
      </c>
      <c r="M76" s="26"/>
      <c r="N76" s="38"/>
      <c r="O76" s="39"/>
      <c r="P76" s="39"/>
      <c r="Q76" s="39"/>
      <c r="S76" s="40"/>
    </row>
    <row r="77" spans="1:19" ht="15">
      <c r="A77" s="196">
        <v>76</v>
      </c>
      <c r="B77" s="196" t="s">
        <v>473</v>
      </c>
      <c r="C77" s="196" t="s">
        <v>468</v>
      </c>
      <c r="D77" s="196" t="s">
        <v>480</v>
      </c>
      <c r="E77" s="197">
        <v>42211</v>
      </c>
      <c r="F77" s="196">
        <v>3982</v>
      </c>
      <c r="M77" s="26"/>
      <c r="N77" s="38"/>
      <c r="O77" s="39"/>
      <c r="P77" s="39"/>
      <c r="Q77" s="39"/>
      <c r="S77" s="40"/>
    </row>
    <row r="78" spans="1:19" ht="15">
      <c r="A78" s="196">
        <v>77</v>
      </c>
      <c r="B78" s="196" t="s">
        <v>467</v>
      </c>
      <c r="C78" s="196" t="s">
        <v>463</v>
      </c>
      <c r="D78" s="196" t="s">
        <v>476</v>
      </c>
      <c r="E78" s="197">
        <v>42492</v>
      </c>
      <c r="F78" s="196">
        <v>29841</v>
      </c>
      <c r="M78" s="26"/>
      <c r="N78" s="38"/>
      <c r="O78" s="39"/>
      <c r="P78" s="39"/>
      <c r="Q78" s="39"/>
      <c r="S78" s="40"/>
    </row>
    <row r="79" spans="1:19" ht="15">
      <c r="A79" s="196">
        <v>78</v>
      </c>
      <c r="B79" s="196" t="s">
        <v>467</v>
      </c>
      <c r="C79" s="196" t="s">
        <v>470</v>
      </c>
      <c r="D79" s="196" t="s">
        <v>346</v>
      </c>
      <c r="E79" s="197">
        <v>42096</v>
      </c>
      <c r="F79" s="196">
        <v>8685</v>
      </c>
      <c r="M79" s="26"/>
      <c r="N79" s="38"/>
      <c r="O79" s="39"/>
      <c r="P79" s="39"/>
      <c r="Q79" s="39"/>
      <c r="S79" s="40"/>
    </row>
    <row r="80" spans="1:19" ht="15">
      <c r="A80" s="196">
        <v>79</v>
      </c>
      <c r="B80" s="196" t="s">
        <v>471</v>
      </c>
      <c r="C80" s="196" t="s">
        <v>470</v>
      </c>
      <c r="D80" s="196" t="s">
        <v>348</v>
      </c>
      <c r="E80" s="197">
        <v>42175</v>
      </c>
      <c r="F80" s="196">
        <v>17294</v>
      </c>
      <c r="M80" s="26"/>
      <c r="N80" s="38"/>
      <c r="O80" s="39"/>
      <c r="P80" s="39"/>
      <c r="Q80" s="39"/>
      <c r="S80" s="40"/>
    </row>
    <row r="81" spans="1:19" ht="15">
      <c r="A81" s="196">
        <v>80</v>
      </c>
      <c r="B81" s="196" t="s">
        <v>464</v>
      </c>
      <c r="C81" s="196" t="s">
        <v>468</v>
      </c>
      <c r="D81" s="196" t="s">
        <v>472</v>
      </c>
      <c r="E81" s="197">
        <v>42000</v>
      </c>
      <c r="F81" s="196">
        <v>13589</v>
      </c>
      <c r="M81" s="26"/>
      <c r="N81" s="38"/>
      <c r="O81" s="39"/>
      <c r="P81" s="39"/>
      <c r="Q81" s="39"/>
      <c r="S81" s="40"/>
    </row>
    <row r="82" spans="1:19" ht="15">
      <c r="A82" s="196">
        <v>81</v>
      </c>
      <c r="B82" s="196" t="s">
        <v>471</v>
      </c>
      <c r="C82" s="196" t="s">
        <v>465</v>
      </c>
      <c r="D82" s="196" t="s">
        <v>475</v>
      </c>
      <c r="E82" s="197">
        <v>42788</v>
      </c>
      <c r="F82" s="196">
        <v>4958</v>
      </c>
      <c r="M82" s="26"/>
      <c r="N82" s="38"/>
      <c r="O82" s="39"/>
      <c r="P82" s="39"/>
      <c r="Q82" s="39"/>
      <c r="S82" s="40"/>
    </row>
    <row r="83" spans="1:19" ht="15">
      <c r="A83" s="196">
        <v>82</v>
      </c>
      <c r="B83" s="196" t="s">
        <v>467</v>
      </c>
      <c r="C83" s="196" t="s">
        <v>463</v>
      </c>
      <c r="D83" s="196" t="s">
        <v>476</v>
      </c>
      <c r="E83" s="197">
        <v>41962</v>
      </c>
      <c r="F83" s="196">
        <v>16166</v>
      </c>
      <c r="M83" s="26"/>
      <c r="N83" s="38"/>
      <c r="O83" s="39"/>
      <c r="P83" s="39"/>
      <c r="Q83" s="39"/>
      <c r="S83" s="40"/>
    </row>
    <row r="84" spans="1:19" ht="15">
      <c r="A84" s="196">
        <v>83</v>
      </c>
      <c r="B84" s="196" t="s">
        <v>473</v>
      </c>
      <c r="C84" s="196" t="s">
        <v>463</v>
      </c>
      <c r="D84" s="196" t="s">
        <v>472</v>
      </c>
      <c r="E84" s="197">
        <v>42695</v>
      </c>
      <c r="F84" s="196">
        <v>5140</v>
      </c>
      <c r="M84" s="26"/>
      <c r="N84" s="38"/>
      <c r="O84" s="39"/>
      <c r="P84" s="39"/>
      <c r="Q84" s="39"/>
      <c r="S84" s="40"/>
    </row>
    <row r="85" spans="1:19" ht="15">
      <c r="A85" s="196">
        <v>84</v>
      </c>
      <c r="B85" s="196" t="s">
        <v>464</v>
      </c>
      <c r="C85" s="196" t="s">
        <v>470</v>
      </c>
      <c r="D85" s="196" t="s">
        <v>466</v>
      </c>
      <c r="E85" s="197">
        <v>42752</v>
      </c>
      <c r="F85" s="196">
        <v>5715</v>
      </c>
      <c r="M85" s="26"/>
      <c r="N85" s="38"/>
      <c r="O85" s="39"/>
      <c r="P85" s="39"/>
      <c r="Q85" s="39"/>
      <c r="S85" s="40"/>
    </row>
    <row r="86" spans="1:19" ht="15">
      <c r="A86" s="196">
        <v>85</v>
      </c>
      <c r="B86" s="196" t="s">
        <v>462</v>
      </c>
      <c r="C86" s="196" t="s">
        <v>468</v>
      </c>
      <c r="D86" s="196" t="s">
        <v>472</v>
      </c>
      <c r="E86" s="197">
        <v>42728</v>
      </c>
      <c r="F86" s="196">
        <v>23609</v>
      </c>
      <c r="M86" s="26"/>
      <c r="N86" s="38"/>
      <c r="O86" s="39"/>
      <c r="P86" s="39"/>
      <c r="Q86" s="39"/>
      <c r="S86" s="40"/>
    </row>
    <row r="87" spans="1:19" ht="15">
      <c r="A87" s="196">
        <v>86</v>
      </c>
      <c r="B87" s="196" t="s">
        <v>462</v>
      </c>
      <c r="C87" s="196" t="s">
        <v>465</v>
      </c>
      <c r="D87" s="196" t="s">
        <v>350</v>
      </c>
      <c r="E87" s="197">
        <v>42218</v>
      </c>
      <c r="F87" s="196">
        <v>22843</v>
      </c>
      <c r="M87" s="26"/>
      <c r="N87" s="38"/>
      <c r="O87" s="39"/>
      <c r="P87" s="39"/>
      <c r="Q87" s="39"/>
      <c r="S87" s="40"/>
    </row>
    <row r="88" spans="1:19" ht="15">
      <c r="A88" s="196">
        <v>87</v>
      </c>
      <c r="B88" s="196" t="s">
        <v>462</v>
      </c>
      <c r="C88" s="196" t="s">
        <v>470</v>
      </c>
      <c r="D88" s="196" t="s">
        <v>339</v>
      </c>
      <c r="E88" s="197">
        <v>42693</v>
      </c>
      <c r="F88" s="196">
        <v>15959</v>
      </c>
      <c r="M88" s="26"/>
      <c r="N88" s="38"/>
      <c r="O88" s="39"/>
      <c r="P88" s="39"/>
      <c r="Q88" s="39"/>
      <c r="S88" s="40"/>
    </row>
    <row r="89" spans="1:19" ht="15">
      <c r="A89" s="196">
        <v>88</v>
      </c>
      <c r="B89" s="196" t="s">
        <v>469</v>
      </c>
      <c r="C89" s="196" t="s">
        <v>468</v>
      </c>
      <c r="D89" s="196" t="s">
        <v>472</v>
      </c>
      <c r="E89" s="197">
        <v>41970</v>
      </c>
      <c r="F89" s="196">
        <v>4428</v>
      </c>
      <c r="M89" s="26"/>
      <c r="N89" s="38"/>
      <c r="O89" s="39"/>
      <c r="P89" s="39"/>
      <c r="Q89" s="39"/>
      <c r="S89" s="40"/>
    </row>
    <row r="90" spans="1:19" ht="15">
      <c r="A90" s="196">
        <v>89</v>
      </c>
      <c r="B90" s="196" t="s">
        <v>467</v>
      </c>
      <c r="C90" s="196" t="s">
        <v>463</v>
      </c>
      <c r="D90" s="196" t="s">
        <v>477</v>
      </c>
      <c r="E90" s="197">
        <v>42398</v>
      </c>
      <c r="F90" s="196">
        <v>8875</v>
      </c>
      <c r="M90" s="26"/>
      <c r="N90" s="38"/>
      <c r="O90" s="39"/>
      <c r="P90" s="39"/>
      <c r="Q90" s="39"/>
      <c r="S90" s="40"/>
    </row>
    <row r="91" spans="1:19" ht="15">
      <c r="A91" s="196">
        <v>90</v>
      </c>
      <c r="B91" s="196" t="s">
        <v>469</v>
      </c>
      <c r="C91" s="196" t="s">
        <v>468</v>
      </c>
      <c r="D91" s="196" t="s">
        <v>477</v>
      </c>
      <c r="E91" s="197">
        <v>42632</v>
      </c>
      <c r="F91" s="196">
        <v>2030</v>
      </c>
      <c r="M91" s="26"/>
      <c r="N91" s="38"/>
      <c r="O91" s="39"/>
      <c r="P91" s="39"/>
      <c r="Q91" s="39"/>
      <c r="S91" s="40"/>
    </row>
    <row r="92" spans="1:19" ht="15">
      <c r="A92" s="196">
        <v>91</v>
      </c>
      <c r="B92" s="196" t="s">
        <v>471</v>
      </c>
      <c r="C92" s="196" t="s">
        <v>468</v>
      </c>
      <c r="D92" s="196" t="s">
        <v>476</v>
      </c>
      <c r="E92" s="197">
        <v>42879</v>
      </c>
      <c r="F92" s="196">
        <v>17808</v>
      </c>
      <c r="M92" s="26"/>
      <c r="N92" s="38"/>
      <c r="O92" s="39"/>
      <c r="P92" s="39"/>
      <c r="Q92" s="39"/>
      <c r="S92" s="40"/>
    </row>
    <row r="93" spans="1:19" ht="15">
      <c r="A93" s="196">
        <v>92</v>
      </c>
      <c r="B93" s="196" t="s">
        <v>473</v>
      </c>
      <c r="C93" s="196" t="s">
        <v>470</v>
      </c>
      <c r="D93" s="196" t="s">
        <v>346</v>
      </c>
      <c r="E93" s="197">
        <v>42716</v>
      </c>
      <c r="F93" s="196">
        <v>5000</v>
      </c>
      <c r="M93" s="26"/>
      <c r="N93" s="38"/>
      <c r="O93" s="39"/>
      <c r="P93" s="39"/>
      <c r="Q93" s="39"/>
      <c r="S93" s="40"/>
    </row>
    <row r="94" spans="1:19" ht="15">
      <c r="A94" s="196">
        <v>93</v>
      </c>
      <c r="B94" s="196" t="s">
        <v>467</v>
      </c>
      <c r="C94" s="196" t="s">
        <v>463</v>
      </c>
      <c r="D94" s="196" t="s">
        <v>339</v>
      </c>
      <c r="E94" s="197">
        <v>42079</v>
      </c>
      <c r="F94" s="196">
        <v>9493</v>
      </c>
      <c r="M94" s="26"/>
      <c r="N94" s="38"/>
      <c r="O94" s="39"/>
      <c r="P94" s="39"/>
      <c r="Q94" s="39"/>
      <c r="S94" s="40"/>
    </row>
    <row r="95" spans="1:19" ht="15">
      <c r="A95" s="196">
        <v>94</v>
      </c>
      <c r="B95" s="196" t="s">
        <v>471</v>
      </c>
      <c r="C95" s="196" t="s">
        <v>468</v>
      </c>
      <c r="D95" s="196" t="s">
        <v>475</v>
      </c>
      <c r="E95" s="197">
        <v>42635</v>
      </c>
      <c r="F95" s="196">
        <v>4088</v>
      </c>
      <c r="M95" s="26"/>
      <c r="N95" s="38"/>
      <c r="O95" s="39"/>
      <c r="P95" s="39"/>
      <c r="Q95" s="39"/>
      <c r="S95" s="40"/>
    </row>
    <row r="96" spans="1:19" ht="15">
      <c r="A96" s="196">
        <v>95</v>
      </c>
      <c r="B96" s="196" t="s">
        <v>467</v>
      </c>
      <c r="C96" s="196" t="s">
        <v>465</v>
      </c>
      <c r="D96" s="196" t="s">
        <v>350</v>
      </c>
      <c r="E96" s="197">
        <v>42764</v>
      </c>
      <c r="F96" s="196">
        <v>5362</v>
      </c>
      <c r="M96" s="26"/>
      <c r="N96" s="38"/>
      <c r="O96" s="39"/>
      <c r="Q96" s="39"/>
      <c r="S96" s="40"/>
    </row>
    <row r="97" spans="1:19" ht="15">
      <c r="A97" s="196">
        <v>96</v>
      </c>
      <c r="B97" s="196" t="s">
        <v>469</v>
      </c>
      <c r="C97" s="196" t="s">
        <v>470</v>
      </c>
      <c r="D97" s="196" t="s">
        <v>478</v>
      </c>
      <c r="E97" s="197">
        <v>42525</v>
      </c>
      <c r="F97" s="196">
        <v>22907</v>
      </c>
      <c r="M97" s="26"/>
      <c r="N97" s="38"/>
      <c r="O97" s="39"/>
      <c r="P97" s="39"/>
      <c r="Q97" s="39"/>
      <c r="S97" s="40"/>
    </row>
    <row r="98" spans="1:19" ht="15">
      <c r="A98" s="196">
        <v>97</v>
      </c>
      <c r="B98" s="196" t="s">
        <v>462</v>
      </c>
      <c r="C98" s="196" t="s">
        <v>463</v>
      </c>
      <c r="D98" s="196" t="s">
        <v>344</v>
      </c>
      <c r="E98" s="197">
        <v>42700</v>
      </c>
      <c r="F98" s="196">
        <v>10970</v>
      </c>
      <c r="M98" s="26"/>
      <c r="N98" s="38"/>
      <c r="O98" s="39"/>
      <c r="P98" s="39"/>
      <c r="Q98" s="39"/>
      <c r="S98" s="40"/>
    </row>
    <row r="99" spans="1:19" ht="15">
      <c r="A99" s="196">
        <v>98</v>
      </c>
      <c r="B99" s="196" t="s">
        <v>473</v>
      </c>
      <c r="C99" s="196" t="s">
        <v>470</v>
      </c>
      <c r="D99" s="196" t="s">
        <v>348</v>
      </c>
      <c r="E99" s="197">
        <v>42806</v>
      </c>
      <c r="F99" s="196">
        <v>17294</v>
      </c>
      <c r="M99" s="26"/>
      <c r="N99" s="38"/>
      <c r="O99" s="39"/>
      <c r="P99" s="39"/>
      <c r="Q99" s="39"/>
      <c r="S99" s="40"/>
    </row>
    <row r="100" spans="1:19" ht="15">
      <c r="A100" s="196">
        <v>99</v>
      </c>
      <c r="B100" s="196" t="s">
        <v>467</v>
      </c>
      <c r="C100" s="196" t="s">
        <v>465</v>
      </c>
      <c r="D100" s="196" t="s">
        <v>348</v>
      </c>
      <c r="E100" s="197">
        <v>42391</v>
      </c>
      <c r="F100" s="196">
        <v>17047</v>
      </c>
      <c r="M100" s="26"/>
      <c r="N100" s="38"/>
      <c r="O100" s="39"/>
      <c r="P100" s="39"/>
      <c r="Q100" s="39"/>
      <c r="S100" s="40"/>
    </row>
    <row r="101" spans="1:19" ht="15">
      <c r="A101" s="196">
        <v>100</v>
      </c>
      <c r="B101" s="196" t="s">
        <v>464</v>
      </c>
      <c r="C101" s="196" t="s">
        <v>463</v>
      </c>
      <c r="D101" s="196" t="s">
        <v>476</v>
      </c>
      <c r="E101" s="197">
        <v>42522</v>
      </c>
      <c r="F101" s="196">
        <v>21057</v>
      </c>
      <c r="M101" s="26"/>
      <c r="N101" s="38"/>
      <c r="O101" s="39"/>
      <c r="P101" s="39"/>
      <c r="Q101" s="39"/>
      <c r="S101" s="40"/>
    </row>
    <row r="102" spans="1:19" ht="15">
      <c r="A102" s="196">
        <v>101</v>
      </c>
      <c r="B102" s="196" t="s">
        <v>467</v>
      </c>
      <c r="C102" s="196" t="s">
        <v>465</v>
      </c>
      <c r="D102" s="196" t="s">
        <v>466</v>
      </c>
      <c r="E102" s="197">
        <v>42328</v>
      </c>
      <c r="F102" s="196">
        <v>15597</v>
      </c>
      <c r="M102" s="26"/>
      <c r="N102" s="38"/>
      <c r="O102" s="39"/>
      <c r="P102" s="39"/>
      <c r="Q102" s="39"/>
      <c r="S102" s="40"/>
    </row>
    <row r="103" spans="1:19" ht="15">
      <c r="A103" s="196">
        <v>102</v>
      </c>
      <c r="B103" s="196" t="s">
        <v>469</v>
      </c>
      <c r="C103" s="196" t="s">
        <v>465</v>
      </c>
      <c r="D103" s="196" t="s">
        <v>478</v>
      </c>
      <c r="E103" s="197">
        <v>42680</v>
      </c>
      <c r="F103" s="196">
        <v>23428</v>
      </c>
      <c r="M103" s="26"/>
      <c r="N103" s="38"/>
      <c r="O103" s="39"/>
      <c r="P103" s="39"/>
      <c r="Q103" s="39"/>
      <c r="S103" s="40"/>
    </row>
    <row r="104" spans="1:19" customFormat="1" ht="15">
      <c r="A104" s="196">
        <v>103</v>
      </c>
      <c r="B104" s="196" t="s">
        <v>473</v>
      </c>
      <c r="C104" s="196" t="s">
        <v>470</v>
      </c>
      <c r="D104" s="196" t="s">
        <v>350</v>
      </c>
      <c r="E104" s="197">
        <v>42673</v>
      </c>
      <c r="F104" s="196">
        <v>1855</v>
      </c>
    </row>
    <row r="105" spans="1:19" customFormat="1" ht="15">
      <c r="A105" s="196">
        <v>104</v>
      </c>
      <c r="B105" s="196" t="s">
        <v>473</v>
      </c>
      <c r="C105" s="196" t="s">
        <v>468</v>
      </c>
      <c r="D105" s="196" t="s">
        <v>472</v>
      </c>
      <c r="E105" s="197">
        <v>42414</v>
      </c>
      <c r="F105" s="196">
        <v>13587</v>
      </c>
    </row>
    <row r="106" spans="1:19" customFormat="1" ht="15">
      <c r="A106" s="196">
        <v>105</v>
      </c>
      <c r="B106" s="196" t="s">
        <v>473</v>
      </c>
      <c r="C106" s="196" t="s">
        <v>468</v>
      </c>
      <c r="D106" s="196" t="s">
        <v>480</v>
      </c>
      <c r="E106" s="197">
        <v>42619</v>
      </c>
      <c r="F106" s="196">
        <v>8043</v>
      </c>
    </row>
    <row r="107" spans="1:19" customFormat="1" ht="15">
      <c r="A107" s="196">
        <v>106</v>
      </c>
      <c r="B107" s="196" t="s">
        <v>469</v>
      </c>
      <c r="C107" s="196" t="s">
        <v>468</v>
      </c>
      <c r="D107" s="196" t="s">
        <v>474</v>
      </c>
      <c r="E107" s="197">
        <v>42442</v>
      </c>
      <c r="F107" s="196">
        <v>10920</v>
      </c>
    </row>
    <row r="108" spans="1:19" customFormat="1" ht="15">
      <c r="A108" s="196">
        <v>107</v>
      </c>
      <c r="B108" s="196" t="s">
        <v>471</v>
      </c>
      <c r="C108" s="196" t="s">
        <v>468</v>
      </c>
      <c r="D108" s="196" t="s">
        <v>346</v>
      </c>
      <c r="E108" s="197">
        <v>42565</v>
      </c>
      <c r="F108" s="196">
        <v>7782</v>
      </c>
    </row>
    <row r="109" spans="1:19" customFormat="1" ht="15">
      <c r="A109" s="196">
        <v>108</v>
      </c>
      <c r="B109" s="196" t="s">
        <v>473</v>
      </c>
      <c r="C109" s="196" t="s">
        <v>465</v>
      </c>
      <c r="D109" s="196" t="s">
        <v>350</v>
      </c>
      <c r="E109" s="197">
        <v>42280</v>
      </c>
      <c r="F109" s="196">
        <v>2757</v>
      </c>
    </row>
    <row r="110" spans="1:19" ht="15">
      <c r="A110" s="196">
        <v>109</v>
      </c>
      <c r="B110" s="196" t="s">
        <v>467</v>
      </c>
      <c r="C110" s="196" t="s">
        <v>468</v>
      </c>
      <c r="D110" s="196" t="s">
        <v>477</v>
      </c>
      <c r="E110" s="197">
        <v>42683</v>
      </c>
      <c r="F110" s="196">
        <v>12309</v>
      </c>
      <c r="M110" s="26"/>
      <c r="N110" s="38"/>
      <c r="O110" s="39"/>
      <c r="P110" s="39"/>
      <c r="Q110" s="39"/>
      <c r="S110" s="40"/>
    </row>
    <row r="111" spans="1:19" ht="15">
      <c r="A111" s="196">
        <v>110</v>
      </c>
      <c r="B111" s="196" t="s">
        <v>464</v>
      </c>
      <c r="C111" s="196" t="s">
        <v>463</v>
      </c>
      <c r="D111" s="196" t="s">
        <v>474</v>
      </c>
      <c r="E111" s="197">
        <v>42578</v>
      </c>
      <c r="F111" s="196">
        <v>23804</v>
      </c>
      <c r="M111" s="26"/>
      <c r="N111" s="38"/>
      <c r="O111" s="39"/>
      <c r="P111" s="39"/>
      <c r="Q111" s="39"/>
      <c r="S111" s="40"/>
    </row>
    <row r="112" spans="1:19" ht="15">
      <c r="A112" s="196">
        <v>111</v>
      </c>
      <c r="B112" s="196" t="s">
        <v>467</v>
      </c>
      <c r="C112" s="196" t="s">
        <v>465</v>
      </c>
      <c r="D112" s="196" t="s">
        <v>475</v>
      </c>
      <c r="E112" s="197">
        <v>42142</v>
      </c>
      <c r="F112" s="196">
        <v>17814</v>
      </c>
    </row>
    <row r="113" spans="1:6" ht="15">
      <c r="A113" s="196">
        <v>112</v>
      </c>
      <c r="B113" s="196" t="s">
        <v>473</v>
      </c>
      <c r="C113" s="196" t="s">
        <v>463</v>
      </c>
      <c r="D113" s="196" t="s">
        <v>474</v>
      </c>
      <c r="E113" s="197">
        <v>42638</v>
      </c>
      <c r="F113" s="196">
        <v>1225</v>
      </c>
    </row>
    <row r="114" spans="1:6" ht="15">
      <c r="A114" s="196">
        <v>113</v>
      </c>
      <c r="B114" s="196" t="s">
        <v>467</v>
      </c>
      <c r="C114" s="196" t="s">
        <v>468</v>
      </c>
      <c r="D114" s="196" t="s">
        <v>478</v>
      </c>
      <c r="E114" s="197">
        <v>41939</v>
      </c>
      <c r="F114" s="196">
        <v>24538</v>
      </c>
    </row>
    <row r="115" spans="1:6" ht="15">
      <c r="A115" s="196">
        <v>114</v>
      </c>
      <c r="B115" s="196" t="s">
        <v>471</v>
      </c>
      <c r="C115" s="196" t="s">
        <v>463</v>
      </c>
      <c r="D115" s="196" t="s">
        <v>339</v>
      </c>
      <c r="E115" s="197">
        <v>42406</v>
      </c>
      <c r="F115" s="196">
        <v>167</v>
      </c>
    </row>
    <row r="116" spans="1:6" ht="15">
      <c r="A116" s="196">
        <v>115</v>
      </c>
      <c r="B116" s="196" t="s">
        <v>469</v>
      </c>
      <c r="C116" s="196" t="s">
        <v>463</v>
      </c>
      <c r="D116" s="196" t="s">
        <v>344</v>
      </c>
      <c r="E116" s="197">
        <v>42393</v>
      </c>
      <c r="F116" s="196">
        <v>7538</v>
      </c>
    </row>
    <row r="117" spans="1:6" ht="15">
      <c r="A117" s="196">
        <v>116</v>
      </c>
      <c r="B117" s="196" t="s">
        <v>473</v>
      </c>
      <c r="C117" s="196" t="s">
        <v>463</v>
      </c>
      <c r="D117" s="196" t="s">
        <v>476</v>
      </c>
      <c r="E117" s="197">
        <v>42352</v>
      </c>
      <c r="F117" s="196">
        <v>14383</v>
      </c>
    </row>
    <row r="118" spans="1:6" ht="15">
      <c r="A118" s="196">
        <v>117</v>
      </c>
      <c r="B118" s="196" t="s">
        <v>464</v>
      </c>
      <c r="C118" s="196" t="s">
        <v>465</v>
      </c>
      <c r="D118" s="196" t="s">
        <v>478</v>
      </c>
      <c r="E118" s="197">
        <v>42891</v>
      </c>
      <c r="F118" s="196">
        <v>13032</v>
      </c>
    </row>
    <row r="119" spans="1:6" ht="15">
      <c r="A119" s="196">
        <v>118</v>
      </c>
      <c r="B119" s="196" t="s">
        <v>471</v>
      </c>
      <c r="C119" s="196" t="s">
        <v>470</v>
      </c>
      <c r="D119" s="196" t="s">
        <v>339</v>
      </c>
      <c r="E119" s="197">
        <v>42092</v>
      </c>
      <c r="F119" s="196">
        <v>2713</v>
      </c>
    </row>
    <row r="120" spans="1:6" ht="15">
      <c r="A120" s="196">
        <v>119</v>
      </c>
      <c r="B120" s="196" t="s">
        <v>471</v>
      </c>
      <c r="C120" s="196" t="s">
        <v>470</v>
      </c>
      <c r="D120" s="196" t="s">
        <v>350</v>
      </c>
      <c r="E120" s="197">
        <v>42471</v>
      </c>
      <c r="F120" s="196">
        <v>1855</v>
      </c>
    </row>
    <row r="121" spans="1:6" ht="15">
      <c r="A121" s="196">
        <v>120</v>
      </c>
      <c r="B121" s="196" t="s">
        <v>473</v>
      </c>
      <c r="C121" s="196" t="s">
        <v>470</v>
      </c>
      <c r="D121" s="196" t="s">
        <v>339</v>
      </c>
      <c r="E121" s="197">
        <v>41982</v>
      </c>
      <c r="F121" s="196">
        <v>19449</v>
      </c>
    </row>
    <row r="122" spans="1:6" ht="15">
      <c r="A122" s="196">
        <v>121</v>
      </c>
      <c r="B122" s="196" t="s">
        <v>464</v>
      </c>
      <c r="C122" s="196" t="s">
        <v>465</v>
      </c>
      <c r="D122" s="196" t="s">
        <v>479</v>
      </c>
      <c r="E122" s="197">
        <v>41950</v>
      </c>
      <c r="F122" s="196">
        <v>15019</v>
      </c>
    </row>
    <row r="123" spans="1:6" ht="15">
      <c r="A123" s="196">
        <v>122</v>
      </c>
      <c r="B123" s="196" t="s">
        <v>464</v>
      </c>
      <c r="C123" s="196" t="s">
        <v>468</v>
      </c>
      <c r="D123" s="196" t="s">
        <v>478</v>
      </c>
      <c r="E123" s="197">
        <v>41916</v>
      </c>
      <c r="F123" s="196">
        <v>27634</v>
      </c>
    </row>
    <row r="124" spans="1:6" ht="15">
      <c r="A124" s="196">
        <v>123</v>
      </c>
      <c r="B124" s="196" t="s">
        <v>467</v>
      </c>
      <c r="C124" s="196" t="s">
        <v>468</v>
      </c>
      <c r="D124" s="196" t="s">
        <v>472</v>
      </c>
      <c r="E124" s="197">
        <v>41912</v>
      </c>
      <c r="F124" s="196">
        <v>17038</v>
      </c>
    </row>
    <row r="125" spans="1:6" ht="15">
      <c r="A125" s="196">
        <v>124</v>
      </c>
      <c r="B125" s="196" t="s">
        <v>469</v>
      </c>
      <c r="C125" s="196" t="s">
        <v>470</v>
      </c>
      <c r="D125" s="196" t="s">
        <v>474</v>
      </c>
      <c r="E125" s="197">
        <v>42380</v>
      </c>
      <c r="F125" s="196">
        <v>27874</v>
      </c>
    </row>
    <row r="126" spans="1:6" ht="15">
      <c r="A126" s="196">
        <v>125</v>
      </c>
      <c r="B126" s="196" t="s">
        <v>473</v>
      </c>
      <c r="C126" s="196" t="s">
        <v>468</v>
      </c>
      <c r="D126" s="196" t="s">
        <v>346</v>
      </c>
      <c r="E126" s="197">
        <v>42397</v>
      </c>
      <c r="F126" s="196">
        <v>7782</v>
      </c>
    </row>
    <row r="127" spans="1:6" ht="15">
      <c r="A127" s="196">
        <v>126</v>
      </c>
      <c r="B127" s="196" t="s">
        <v>464</v>
      </c>
      <c r="C127" s="196" t="s">
        <v>470</v>
      </c>
      <c r="D127" s="196" t="s">
        <v>346</v>
      </c>
      <c r="E127" s="197">
        <v>42505</v>
      </c>
      <c r="F127" s="196">
        <v>13295</v>
      </c>
    </row>
    <row r="128" spans="1:6" ht="15">
      <c r="A128" s="196">
        <v>127</v>
      </c>
      <c r="B128" s="196" t="s">
        <v>464</v>
      </c>
      <c r="C128" s="196" t="s">
        <v>468</v>
      </c>
      <c r="D128" s="196" t="s">
        <v>346</v>
      </c>
      <c r="E128" s="197">
        <v>42398</v>
      </c>
      <c r="F128" s="196">
        <v>25178</v>
      </c>
    </row>
    <row r="129" spans="1:6" ht="15">
      <c r="A129" s="196">
        <v>128</v>
      </c>
      <c r="B129" s="196" t="s">
        <v>462</v>
      </c>
      <c r="C129" s="196" t="s">
        <v>465</v>
      </c>
      <c r="D129" s="196" t="s">
        <v>348</v>
      </c>
      <c r="E129" s="197">
        <v>42789</v>
      </c>
      <c r="F129" s="196">
        <v>22175</v>
      </c>
    </row>
    <row r="130" spans="1:6" ht="15">
      <c r="A130" s="196">
        <v>129</v>
      </c>
      <c r="B130" s="196" t="s">
        <v>471</v>
      </c>
      <c r="C130" s="196" t="s">
        <v>463</v>
      </c>
      <c r="D130" s="196" t="s">
        <v>346</v>
      </c>
      <c r="E130" s="197">
        <v>42163</v>
      </c>
      <c r="F130" s="196">
        <v>1509</v>
      </c>
    </row>
    <row r="131" spans="1:6" ht="15">
      <c r="A131" s="196">
        <v>130</v>
      </c>
      <c r="B131" s="196" t="s">
        <v>462</v>
      </c>
      <c r="C131" s="196" t="s">
        <v>470</v>
      </c>
      <c r="D131" s="196" t="s">
        <v>346</v>
      </c>
      <c r="E131" s="197">
        <v>42773</v>
      </c>
      <c r="F131" s="196">
        <v>9664</v>
      </c>
    </row>
    <row r="132" spans="1:6" ht="15">
      <c r="A132" s="196">
        <v>131</v>
      </c>
      <c r="B132" s="196" t="s">
        <v>471</v>
      </c>
      <c r="C132" s="196" t="s">
        <v>465</v>
      </c>
      <c r="D132" s="196" t="s">
        <v>466</v>
      </c>
      <c r="E132" s="197">
        <v>42128</v>
      </c>
      <c r="F132" s="196">
        <v>582</v>
      </c>
    </row>
    <row r="133" spans="1:6" ht="15">
      <c r="A133" s="196">
        <v>132</v>
      </c>
      <c r="B133" s="196" t="s">
        <v>467</v>
      </c>
      <c r="C133" s="196" t="s">
        <v>468</v>
      </c>
      <c r="D133" s="196" t="s">
        <v>480</v>
      </c>
      <c r="E133" s="197">
        <v>41898</v>
      </c>
      <c r="F133" s="196">
        <v>12228</v>
      </c>
    </row>
    <row r="134" spans="1:6" ht="15">
      <c r="A134" s="196">
        <v>133</v>
      </c>
      <c r="B134" s="196" t="s">
        <v>471</v>
      </c>
      <c r="C134" s="196" t="s">
        <v>470</v>
      </c>
      <c r="D134" s="196" t="s">
        <v>348</v>
      </c>
      <c r="E134" s="197">
        <v>42074</v>
      </c>
      <c r="F134" s="196">
        <v>18819</v>
      </c>
    </row>
    <row r="135" spans="1:6" ht="15">
      <c r="A135" s="196">
        <v>134</v>
      </c>
      <c r="B135" s="196" t="s">
        <v>464</v>
      </c>
      <c r="C135" s="196" t="s">
        <v>465</v>
      </c>
      <c r="D135" s="196" t="s">
        <v>477</v>
      </c>
      <c r="E135" s="197">
        <v>42852</v>
      </c>
      <c r="F135" s="196">
        <v>1442</v>
      </c>
    </row>
    <row r="136" spans="1:6" ht="15">
      <c r="A136" s="196">
        <v>135</v>
      </c>
      <c r="B136" s="196" t="s">
        <v>467</v>
      </c>
      <c r="C136" s="196" t="s">
        <v>470</v>
      </c>
      <c r="D136" s="196" t="s">
        <v>348</v>
      </c>
      <c r="E136" s="197">
        <v>41984</v>
      </c>
      <c r="F136" s="196">
        <v>9091</v>
      </c>
    </row>
    <row r="137" spans="1:6" ht="15">
      <c r="A137" s="196">
        <v>136</v>
      </c>
      <c r="B137" s="196" t="s">
        <v>473</v>
      </c>
      <c r="C137" s="196" t="s">
        <v>470</v>
      </c>
      <c r="D137" s="196" t="s">
        <v>339</v>
      </c>
      <c r="E137" s="197">
        <v>42271</v>
      </c>
      <c r="F137" s="196">
        <v>2713</v>
      </c>
    </row>
    <row r="138" spans="1:6" ht="15">
      <c r="A138" s="196">
        <v>137</v>
      </c>
      <c r="B138" s="196" t="s">
        <v>467</v>
      </c>
      <c r="C138" s="196" t="s">
        <v>465</v>
      </c>
      <c r="D138" s="196" t="s">
        <v>475</v>
      </c>
      <c r="E138" s="197">
        <v>42453</v>
      </c>
      <c r="F138" s="196">
        <v>25074</v>
      </c>
    </row>
    <row r="139" spans="1:6" ht="15">
      <c r="A139" s="196">
        <v>138</v>
      </c>
      <c r="B139" s="196" t="s">
        <v>467</v>
      </c>
      <c r="C139" s="196" t="s">
        <v>470</v>
      </c>
      <c r="D139" s="196" t="s">
        <v>344</v>
      </c>
      <c r="E139" s="197">
        <v>42161</v>
      </c>
      <c r="F139" s="196">
        <v>12658</v>
      </c>
    </row>
    <row r="140" spans="1:6" ht="15">
      <c r="A140" s="196">
        <v>139</v>
      </c>
      <c r="B140" s="196" t="s">
        <v>469</v>
      </c>
      <c r="C140" s="196" t="s">
        <v>470</v>
      </c>
      <c r="D140" s="196" t="s">
        <v>350</v>
      </c>
      <c r="E140" s="197">
        <v>42541</v>
      </c>
      <c r="F140" s="196">
        <v>4562</v>
      </c>
    </row>
    <row r="141" spans="1:6" ht="15">
      <c r="A141" s="196">
        <v>140</v>
      </c>
      <c r="B141" s="196" t="s">
        <v>464</v>
      </c>
      <c r="C141" s="196" t="s">
        <v>465</v>
      </c>
      <c r="D141" s="196" t="s">
        <v>350</v>
      </c>
      <c r="E141" s="197">
        <v>42146</v>
      </c>
      <c r="F141" s="196">
        <v>23050</v>
      </c>
    </row>
    <row r="142" spans="1:6" ht="15">
      <c r="A142" s="196">
        <v>141</v>
      </c>
      <c r="B142" s="196" t="s">
        <v>467</v>
      </c>
      <c r="C142" s="196" t="s">
        <v>468</v>
      </c>
      <c r="D142" s="196" t="s">
        <v>474</v>
      </c>
      <c r="E142" s="197">
        <v>41993</v>
      </c>
      <c r="F142" s="196">
        <v>7838</v>
      </c>
    </row>
    <row r="143" spans="1:6" ht="15">
      <c r="A143" s="196">
        <v>142</v>
      </c>
      <c r="B143" s="196" t="s">
        <v>473</v>
      </c>
      <c r="C143" s="196" t="s">
        <v>463</v>
      </c>
      <c r="D143" s="196" t="s">
        <v>346</v>
      </c>
      <c r="E143" s="197">
        <v>42165</v>
      </c>
      <c r="F143" s="196">
        <v>1509</v>
      </c>
    </row>
    <row r="144" spans="1:6" ht="15">
      <c r="A144" s="196">
        <v>143</v>
      </c>
      <c r="B144" s="196" t="s">
        <v>464</v>
      </c>
      <c r="C144" s="196" t="s">
        <v>468</v>
      </c>
      <c r="D144" s="196" t="s">
        <v>476</v>
      </c>
      <c r="E144" s="197">
        <v>42339</v>
      </c>
      <c r="F144" s="196">
        <v>25257</v>
      </c>
    </row>
    <row r="145" spans="1:6" ht="15">
      <c r="A145" s="196">
        <v>144</v>
      </c>
      <c r="B145" s="196" t="s">
        <v>469</v>
      </c>
      <c r="C145" s="196" t="s">
        <v>465</v>
      </c>
      <c r="D145" s="196" t="s">
        <v>477</v>
      </c>
      <c r="E145" s="197">
        <v>42104</v>
      </c>
      <c r="F145" s="196">
        <v>15843</v>
      </c>
    </row>
    <row r="146" spans="1:6" ht="15">
      <c r="A146" s="196">
        <v>145</v>
      </c>
      <c r="B146" s="196" t="s">
        <v>464</v>
      </c>
      <c r="C146" s="196" t="s">
        <v>468</v>
      </c>
      <c r="D146" s="196" t="s">
        <v>480</v>
      </c>
      <c r="E146" s="197">
        <v>42691</v>
      </c>
      <c r="F146" s="196">
        <v>11832</v>
      </c>
    </row>
    <row r="147" spans="1:6" ht="15">
      <c r="A147" s="196">
        <v>146</v>
      </c>
      <c r="B147" s="196" t="s">
        <v>467</v>
      </c>
      <c r="C147" s="196" t="s">
        <v>470</v>
      </c>
      <c r="D147" s="196" t="s">
        <v>466</v>
      </c>
      <c r="E147" s="197">
        <v>42569</v>
      </c>
      <c r="F147" s="196">
        <v>8988</v>
      </c>
    </row>
    <row r="148" spans="1:6" ht="15">
      <c r="A148" s="196">
        <v>147</v>
      </c>
      <c r="B148" s="196" t="s">
        <v>462</v>
      </c>
      <c r="C148" s="196" t="s">
        <v>463</v>
      </c>
      <c r="D148" s="196" t="s">
        <v>466</v>
      </c>
      <c r="E148" s="197">
        <v>42033</v>
      </c>
      <c r="F148" s="196">
        <v>20141</v>
      </c>
    </row>
    <row r="149" spans="1:6" ht="15">
      <c r="A149" s="196">
        <v>148</v>
      </c>
      <c r="B149" s="196" t="s">
        <v>471</v>
      </c>
      <c r="C149" s="196" t="s">
        <v>470</v>
      </c>
      <c r="D149" s="196" t="s">
        <v>466</v>
      </c>
      <c r="E149" s="197">
        <v>42301</v>
      </c>
      <c r="F149" s="196">
        <v>12564</v>
      </c>
    </row>
    <row r="150" spans="1:6" ht="15">
      <c r="A150" s="196">
        <v>149</v>
      </c>
      <c r="B150" s="196" t="s">
        <v>462</v>
      </c>
      <c r="C150" s="196" t="s">
        <v>465</v>
      </c>
      <c r="D150" s="196" t="s">
        <v>475</v>
      </c>
      <c r="E150" s="197">
        <v>42796</v>
      </c>
      <c r="F150" s="196">
        <v>19069</v>
      </c>
    </row>
    <row r="151" spans="1:6" ht="15">
      <c r="A151" s="196">
        <v>150</v>
      </c>
      <c r="B151" s="196" t="s">
        <v>473</v>
      </c>
      <c r="C151" s="196" t="s">
        <v>470</v>
      </c>
      <c r="D151" s="196" t="s">
        <v>466</v>
      </c>
      <c r="E151" s="197">
        <v>42142</v>
      </c>
      <c r="F151" s="196">
        <v>12564</v>
      </c>
    </row>
    <row r="152" spans="1:6" ht="15">
      <c r="A152" s="196">
        <v>151</v>
      </c>
      <c r="B152" s="196" t="s">
        <v>473</v>
      </c>
      <c r="C152" s="196" t="s">
        <v>470</v>
      </c>
      <c r="D152" s="196" t="s">
        <v>478</v>
      </c>
      <c r="E152" s="197">
        <v>42090</v>
      </c>
      <c r="F152" s="196">
        <v>16242</v>
      </c>
    </row>
    <row r="153" spans="1:6" ht="15">
      <c r="A153" s="196">
        <v>152</v>
      </c>
      <c r="B153" s="196" t="s">
        <v>462</v>
      </c>
      <c r="C153" s="196" t="s">
        <v>470</v>
      </c>
      <c r="D153" s="196" t="s">
        <v>478</v>
      </c>
      <c r="E153" s="197">
        <v>42245</v>
      </c>
      <c r="F153" s="196">
        <v>6361</v>
      </c>
    </row>
    <row r="154" spans="1:6" ht="15">
      <c r="A154" s="196">
        <v>153</v>
      </c>
      <c r="B154" s="196" t="s">
        <v>467</v>
      </c>
      <c r="C154" s="196" t="s">
        <v>465</v>
      </c>
      <c r="D154" s="196" t="s">
        <v>344</v>
      </c>
      <c r="E154" s="197">
        <v>41962</v>
      </c>
      <c r="F154" s="196">
        <v>8672</v>
      </c>
    </row>
    <row r="155" spans="1:6" ht="15">
      <c r="A155" s="196">
        <v>154</v>
      </c>
      <c r="B155" s="196" t="s">
        <v>471</v>
      </c>
      <c r="C155" s="196" t="s">
        <v>463</v>
      </c>
      <c r="D155" s="196" t="s">
        <v>344</v>
      </c>
      <c r="E155" s="197">
        <v>42269</v>
      </c>
      <c r="F155" s="196">
        <v>5326</v>
      </c>
    </row>
    <row r="156" spans="1:6" ht="15">
      <c r="A156" s="196">
        <v>155</v>
      </c>
      <c r="B156" s="196" t="s">
        <v>462</v>
      </c>
      <c r="C156" s="196" t="s">
        <v>468</v>
      </c>
      <c r="D156" s="196" t="s">
        <v>474</v>
      </c>
      <c r="E156" s="197">
        <v>41965</v>
      </c>
      <c r="F156" s="196">
        <v>15037</v>
      </c>
    </row>
    <row r="157" spans="1:6" ht="15">
      <c r="A157" s="196">
        <v>156</v>
      </c>
      <c r="B157" s="196" t="s">
        <v>469</v>
      </c>
      <c r="C157" s="196" t="s">
        <v>463</v>
      </c>
      <c r="D157" s="196" t="s">
        <v>346</v>
      </c>
      <c r="E157" s="197">
        <v>42554</v>
      </c>
      <c r="F157" s="196">
        <v>13486</v>
      </c>
    </row>
    <row r="158" spans="1:6" ht="15">
      <c r="A158" s="196">
        <v>157</v>
      </c>
      <c r="B158" s="196" t="s">
        <v>471</v>
      </c>
      <c r="C158" s="196" t="s">
        <v>465</v>
      </c>
      <c r="D158" s="196" t="s">
        <v>348</v>
      </c>
      <c r="E158" s="197">
        <v>42713</v>
      </c>
      <c r="F158" s="196">
        <v>258</v>
      </c>
    </row>
    <row r="159" spans="1:6" ht="15">
      <c r="A159" s="196">
        <v>158</v>
      </c>
      <c r="B159" s="196" t="s">
        <v>473</v>
      </c>
      <c r="C159" s="196" t="s">
        <v>468</v>
      </c>
      <c r="D159" s="196" t="s">
        <v>344</v>
      </c>
      <c r="E159" s="197">
        <v>42398</v>
      </c>
      <c r="F159" s="196">
        <v>17436</v>
      </c>
    </row>
    <row r="160" spans="1:6" ht="15">
      <c r="A160" s="196">
        <v>159</v>
      </c>
      <c r="B160" s="196" t="s">
        <v>473</v>
      </c>
      <c r="C160" s="196" t="s">
        <v>465</v>
      </c>
      <c r="D160" s="196" t="s">
        <v>348</v>
      </c>
      <c r="E160" s="197">
        <v>42856</v>
      </c>
      <c r="F160" s="196">
        <v>258</v>
      </c>
    </row>
    <row r="161" spans="1:6" ht="15">
      <c r="A161" s="196">
        <v>160</v>
      </c>
      <c r="B161" s="196" t="s">
        <v>462</v>
      </c>
      <c r="C161" s="196" t="s">
        <v>468</v>
      </c>
      <c r="D161" s="196" t="s">
        <v>479</v>
      </c>
      <c r="E161" s="197">
        <v>42633</v>
      </c>
      <c r="F161" s="196">
        <v>21951</v>
      </c>
    </row>
    <row r="162" spans="1:6" ht="15">
      <c r="A162" s="196">
        <v>161</v>
      </c>
      <c r="B162" s="196" t="s">
        <v>469</v>
      </c>
      <c r="C162" s="196" t="s">
        <v>470</v>
      </c>
      <c r="D162" s="196" t="s">
        <v>346</v>
      </c>
      <c r="E162" s="197">
        <v>42223</v>
      </c>
      <c r="F162" s="196">
        <v>5640</v>
      </c>
    </row>
    <row r="163" spans="1:6" ht="15">
      <c r="A163" s="196">
        <v>162</v>
      </c>
      <c r="B163" s="196" t="s">
        <v>471</v>
      </c>
      <c r="C163" s="196" t="s">
        <v>465</v>
      </c>
      <c r="D163" s="196" t="s">
        <v>479</v>
      </c>
      <c r="E163" s="197">
        <v>42231</v>
      </c>
      <c r="F163" s="196">
        <v>4474</v>
      </c>
    </row>
    <row r="164" spans="1:6" ht="15">
      <c r="A164" s="196">
        <v>163</v>
      </c>
      <c r="B164" s="196" t="s">
        <v>467</v>
      </c>
      <c r="C164" s="196" t="s">
        <v>465</v>
      </c>
      <c r="D164" s="196" t="s">
        <v>477</v>
      </c>
      <c r="E164" s="197">
        <v>42469</v>
      </c>
      <c r="F164" s="196">
        <v>28361</v>
      </c>
    </row>
    <row r="165" spans="1:6" ht="15">
      <c r="A165" s="196">
        <v>164</v>
      </c>
      <c r="B165" s="196" t="s">
        <v>462</v>
      </c>
      <c r="C165" s="196" t="s">
        <v>468</v>
      </c>
      <c r="D165" s="196" t="s">
        <v>478</v>
      </c>
      <c r="E165" s="197">
        <v>42869</v>
      </c>
      <c r="F165" s="196">
        <v>12455</v>
      </c>
    </row>
    <row r="166" spans="1:6" ht="15">
      <c r="A166" s="196">
        <v>165</v>
      </c>
      <c r="B166" s="196" t="s">
        <v>464</v>
      </c>
      <c r="C166" s="196" t="s">
        <v>463</v>
      </c>
      <c r="D166" s="196" t="s">
        <v>477</v>
      </c>
      <c r="E166" s="197">
        <v>42366</v>
      </c>
      <c r="F166" s="196">
        <v>9584</v>
      </c>
    </row>
    <row r="167" spans="1:6" ht="15">
      <c r="A167" s="196">
        <v>166</v>
      </c>
      <c r="B167" s="196" t="s">
        <v>462</v>
      </c>
      <c r="C167" s="196" t="s">
        <v>470</v>
      </c>
      <c r="D167" s="196" t="s">
        <v>466</v>
      </c>
      <c r="E167" s="197">
        <v>42390</v>
      </c>
      <c r="F167" s="196">
        <v>9519</v>
      </c>
    </row>
    <row r="168" spans="1:6" ht="15">
      <c r="A168" s="196">
        <v>167</v>
      </c>
      <c r="B168" s="196" t="s">
        <v>464</v>
      </c>
      <c r="C168" s="196" t="s">
        <v>470</v>
      </c>
      <c r="D168" s="196" t="s">
        <v>478</v>
      </c>
      <c r="E168" s="197">
        <v>42111</v>
      </c>
      <c r="F168" s="196">
        <v>11353</v>
      </c>
    </row>
    <row r="169" spans="1:6" ht="15">
      <c r="A169" s="196">
        <v>168</v>
      </c>
      <c r="B169" s="196" t="s">
        <v>462</v>
      </c>
      <c r="C169" s="196" t="s">
        <v>468</v>
      </c>
      <c r="D169" s="196" t="s">
        <v>480</v>
      </c>
      <c r="E169" s="197">
        <v>42490</v>
      </c>
      <c r="F169" s="196">
        <v>18556</v>
      </c>
    </row>
    <row r="170" spans="1:6" ht="15">
      <c r="A170" s="196">
        <v>169</v>
      </c>
      <c r="B170" s="196" t="s">
        <v>473</v>
      </c>
      <c r="C170" s="196" t="s">
        <v>463</v>
      </c>
      <c r="D170" s="196" t="s">
        <v>348</v>
      </c>
      <c r="E170" s="197">
        <v>42050</v>
      </c>
      <c r="F170" s="196">
        <v>19116</v>
      </c>
    </row>
    <row r="171" spans="1:6" ht="15">
      <c r="A171" s="196">
        <v>170</v>
      </c>
      <c r="B171" s="196" t="s">
        <v>469</v>
      </c>
      <c r="C171" s="196" t="s">
        <v>465</v>
      </c>
      <c r="D171" s="196" t="s">
        <v>479</v>
      </c>
      <c r="E171" s="197">
        <v>42761</v>
      </c>
      <c r="F171" s="196">
        <v>22424</v>
      </c>
    </row>
    <row r="172" spans="1:6" ht="15">
      <c r="A172" s="196">
        <v>171</v>
      </c>
      <c r="B172" s="196" t="s">
        <v>462</v>
      </c>
      <c r="C172" s="196" t="s">
        <v>470</v>
      </c>
      <c r="D172" s="196" t="s">
        <v>480</v>
      </c>
      <c r="E172" s="197">
        <v>42335</v>
      </c>
      <c r="F172" s="196">
        <v>16445</v>
      </c>
    </row>
    <row r="173" spans="1:6" ht="15">
      <c r="A173" s="196">
        <v>172</v>
      </c>
      <c r="B173" s="196" t="s">
        <v>471</v>
      </c>
      <c r="C173" s="196" t="s">
        <v>465</v>
      </c>
      <c r="D173" s="196" t="s">
        <v>350</v>
      </c>
      <c r="E173" s="197">
        <v>42234</v>
      </c>
      <c r="F173" s="196">
        <v>2757</v>
      </c>
    </row>
    <row r="174" spans="1:6" ht="15">
      <c r="A174" s="196">
        <v>173</v>
      </c>
      <c r="B174" s="196" t="s">
        <v>473</v>
      </c>
      <c r="C174" s="196" t="s">
        <v>463</v>
      </c>
      <c r="D174" s="196" t="s">
        <v>476</v>
      </c>
      <c r="E174" s="197">
        <v>42572</v>
      </c>
      <c r="F174" s="196">
        <v>19774</v>
      </c>
    </row>
    <row r="175" spans="1:6" ht="15">
      <c r="A175" s="196">
        <v>174</v>
      </c>
      <c r="B175" s="196" t="s">
        <v>462</v>
      </c>
      <c r="C175" s="196" t="s">
        <v>468</v>
      </c>
      <c r="D175" s="196" t="s">
        <v>477</v>
      </c>
      <c r="E175" s="197">
        <v>42257</v>
      </c>
      <c r="F175" s="196">
        <v>10902</v>
      </c>
    </row>
    <row r="176" spans="1:6" ht="15">
      <c r="A176" s="196">
        <v>175</v>
      </c>
      <c r="B176" s="196" t="s">
        <v>471</v>
      </c>
      <c r="C176" s="196" t="s">
        <v>470</v>
      </c>
      <c r="D176" s="196" t="s">
        <v>478</v>
      </c>
      <c r="E176" s="197">
        <v>42668</v>
      </c>
      <c r="F176" s="196">
        <v>16242</v>
      </c>
    </row>
    <row r="177" spans="1:6" ht="15">
      <c r="A177" s="196">
        <v>176</v>
      </c>
      <c r="B177" s="196" t="s">
        <v>464</v>
      </c>
      <c r="C177" s="196" t="s">
        <v>465</v>
      </c>
      <c r="D177" s="196" t="s">
        <v>348</v>
      </c>
      <c r="E177" s="197">
        <v>42814</v>
      </c>
      <c r="F177" s="196">
        <v>12971</v>
      </c>
    </row>
    <row r="178" spans="1:6" ht="15">
      <c r="A178" s="196">
        <v>177</v>
      </c>
      <c r="B178" s="196" t="s">
        <v>462</v>
      </c>
      <c r="C178" s="196" t="s">
        <v>463</v>
      </c>
      <c r="D178" s="196" t="s">
        <v>477</v>
      </c>
      <c r="E178" s="197">
        <v>42694</v>
      </c>
      <c r="F178" s="196">
        <v>5066</v>
      </c>
    </row>
    <row r="179" spans="1:6" ht="15">
      <c r="A179" s="196">
        <v>178</v>
      </c>
      <c r="B179" s="196" t="s">
        <v>469</v>
      </c>
      <c r="C179" s="196" t="s">
        <v>465</v>
      </c>
      <c r="D179" s="196" t="s">
        <v>350</v>
      </c>
      <c r="E179" s="197">
        <v>42601</v>
      </c>
      <c r="F179" s="196">
        <v>1364</v>
      </c>
    </row>
    <row r="180" spans="1:6" ht="15">
      <c r="A180" s="196">
        <v>179</v>
      </c>
      <c r="B180" s="196" t="s">
        <v>473</v>
      </c>
      <c r="C180" s="196" t="s">
        <v>465</v>
      </c>
      <c r="D180" s="196" t="s">
        <v>350</v>
      </c>
      <c r="E180" s="197">
        <v>42527</v>
      </c>
      <c r="F180" s="196">
        <v>2949</v>
      </c>
    </row>
    <row r="181" spans="1:6" ht="15">
      <c r="A181" s="196">
        <v>180</v>
      </c>
      <c r="B181" s="196" t="s">
        <v>464</v>
      </c>
      <c r="C181" s="196" t="s">
        <v>465</v>
      </c>
      <c r="D181" s="196" t="s">
        <v>479</v>
      </c>
      <c r="E181" s="197">
        <v>42241</v>
      </c>
      <c r="F181" s="196">
        <v>15362</v>
      </c>
    </row>
    <row r="182" spans="1:6" ht="15">
      <c r="A182" s="196">
        <v>181</v>
      </c>
      <c r="B182" s="196" t="s">
        <v>471</v>
      </c>
      <c r="C182" s="196" t="s">
        <v>468</v>
      </c>
      <c r="D182" s="196" t="s">
        <v>472</v>
      </c>
      <c r="E182" s="197">
        <v>42219</v>
      </c>
      <c r="F182" s="196">
        <v>13587</v>
      </c>
    </row>
    <row r="183" spans="1:6" ht="15">
      <c r="A183" s="196">
        <v>182</v>
      </c>
      <c r="B183" s="196" t="s">
        <v>473</v>
      </c>
      <c r="C183" s="196" t="s">
        <v>463</v>
      </c>
      <c r="D183" s="196" t="s">
        <v>346</v>
      </c>
      <c r="E183" s="197">
        <v>42160</v>
      </c>
      <c r="F183" s="196">
        <v>11105</v>
      </c>
    </row>
    <row r="184" spans="1:6" ht="15">
      <c r="A184" s="196">
        <v>183</v>
      </c>
      <c r="B184" s="196" t="s">
        <v>471</v>
      </c>
      <c r="C184" s="196" t="s">
        <v>463</v>
      </c>
      <c r="D184" s="196" t="s">
        <v>348</v>
      </c>
      <c r="E184" s="197">
        <v>42392</v>
      </c>
      <c r="F184" s="196">
        <v>19116</v>
      </c>
    </row>
    <row r="185" spans="1:6" ht="15">
      <c r="A185" s="196">
        <v>184</v>
      </c>
      <c r="B185" s="196" t="s">
        <v>471</v>
      </c>
      <c r="C185" s="196" t="s">
        <v>463</v>
      </c>
      <c r="D185" s="196" t="s">
        <v>477</v>
      </c>
      <c r="E185" s="197">
        <v>42101</v>
      </c>
      <c r="F185" s="196">
        <v>14751</v>
      </c>
    </row>
    <row r="186" spans="1:6" ht="15">
      <c r="A186" s="196">
        <v>185</v>
      </c>
      <c r="B186" s="196" t="s">
        <v>471</v>
      </c>
      <c r="C186" s="196" t="s">
        <v>470</v>
      </c>
      <c r="D186" s="196" t="s">
        <v>339</v>
      </c>
      <c r="E186" s="197">
        <v>41955</v>
      </c>
      <c r="F186" s="196">
        <v>19449</v>
      </c>
    </row>
    <row r="187" spans="1:6" ht="15">
      <c r="A187" s="196">
        <v>186</v>
      </c>
      <c r="B187" s="196" t="s">
        <v>473</v>
      </c>
      <c r="C187" s="196" t="s">
        <v>468</v>
      </c>
      <c r="D187" s="196" t="s">
        <v>472</v>
      </c>
      <c r="E187" s="197">
        <v>42557</v>
      </c>
      <c r="F187" s="196">
        <v>1801</v>
      </c>
    </row>
    <row r="188" spans="1:6" ht="15">
      <c r="A188" s="196">
        <v>187</v>
      </c>
      <c r="B188" s="196" t="s">
        <v>473</v>
      </c>
      <c r="C188" s="196" t="s">
        <v>468</v>
      </c>
      <c r="D188" s="196" t="s">
        <v>478</v>
      </c>
      <c r="E188" s="197">
        <v>42475</v>
      </c>
      <c r="F188" s="196">
        <v>3749</v>
      </c>
    </row>
    <row r="189" spans="1:6" ht="15">
      <c r="A189" s="196">
        <v>188</v>
      </c>
      <c r="B189" s="196" t="s">
        <v>462</v>
      </c>
      <c r="C189" s="196" t="s">
        <v>465</v>
      </c>
      <c r="D189" s="196" t="s">
        <v>479</v>
      </c>
      <c r="E189" s="197">
        <v>42746</v>
      </c>
      <c r="F189" s="196">
        <v>10570</v>
      </c>
    </row>
    <row r="190" spans="1:6" ht="15">
      <c r="A190" s="196">
        <v>189</v>
      </c>
      <c r="B190" s="196" t="s">
        <v>464</v>
      </c>
      <c r="C190" s="196" t="s">
        <v>465</v>
      </c>
      <c r="D190" s="196" t="s">
        <v>475</v>
      </c>
      <c r="E190" s="197">
        <v>42636</v>
      </c>
      <c r="F190" s="196">
        <v>22816</v>
      </c>
    </row>
    <row r="191" spans="1:6" ht="15">
      <c r="A191" s="196">
        <v>190</v>
      </c>
      <c r="B191" s="196" t="s">
        <v>467</v>
      </c>
      <c r="C191" s="196" t="s">
        <v>463</v>
      </c>
      <c r="D191" s="196" t="s">
        <v>344</v>
      </c>
      <c r="E191" s="197">
        <v>42753</v>
      </c>
      <c r="F191" s="196">
        <v>18639</v>
      </c>
    </row>
    <row r="192" spans="1:6" ht="15">
      <c r="A192" s="196">
        <v>191</v>
      </c>
      <c r="B192" s="196" t="s">
        <v>464</v>
      </c>
      <c r="C192" s="196" t="s">
        <v>468</v>
      </c>
      <c r="D192" s="196" t="s">
        <v>475</v>
      </c>
      <c r="E192" s="197">
        <v>42075</v>
      </c>
      <c r="F192" s="196">
        <v>10068</v>
      </c>
    </row>
    <row r="193" spans="1:6" ht="15">
      <c r="A193" s="196">
        <v>192</v>
      </c>
      <c r="B193" s="196" t="s">
        <v>462</v>
      </c>
      <c r="C193" s="196" t="s">
        <v>468</v>
      </c>
      <c r="D193" s="196" t="s">
        <v>346</v>
      </c>
      <c r="E193" s="197">
        <v>42820</v>
      </c>
      <c r="F193" s="196">
        <v>5685</v>
      </c>
    </row>
    <row r="194" spans="1:6" ht="15">
      <c r="A194" s="196">
        <v>193</v>
      </c>
      <c r="B194" s="196" t="s">
        <v>467</v>
      </c>
      <c r="C194" s="196" t="s">
        <v>470</v>
      </c>
      <c r="D194" s="196" t="s">
        <v>474</v>
      </c>
      <c r="E194" s="197">
        <v>41934</v>
      </c>
      <c r="F194" s="196">
        <v>9990</v>
      </c>
    </row>
    <row r="195" spans="1:6" ht="15">
      <c r="A195" s="196">
        <v>194</v>
      </c>
      <c r="B195" s="196" t="s">
        <v>462</v>
      </c>
      <c r="C195" s="196" t="s">
        <v>468</v>
      </c>
      <c r="D195" s="196" t="s">
        <v>472</v>
      </c>
      <c r="E195" s="197">
        <v>42036</v>
      </c>
      <c r="F195" s="196">
        <v>18664</v>
      </c>
    </row>
    <row r="196" spans="1:6" ht="15">
      <c r="A196" s="196">
        <v>195</v>
      </c>
      <c r="B196" s="196" t="s">
        <v>471</v>
      </c>
      <c r="C196" s="196" t="s">
        <v>463</v>
      </c>
      <c r="D196" s="196" t="s">
        <v>476</v>
      </c>
      <c r="E196" s="197">
        <v>42027</v>
      </c>
      <c r="F196" s="196">
        <v>14383</v>
      </c>
    </row>
    <row r="197" spans="1:6" ht="15">
      <c r="A197" s="196">
        <v>196</v>
      </c>
      <c r="B197" s="196" t="s">
        <v>471</v>
      </c>
      <c r="C197" s="196" t="s">
        <v>463</v>
      </c>
      <c r="D197" s="196" t="s">
        <v>475</v>
      </c>
      <c r="E197" s="197">
        <v>42576</v>
      </c>
      <c r="F197" s="196">
        <v>5706</v>
      </c>
    </row>
    <row r="198" spans="1:6" ht="15">
      <c r="A198" s="196">
        <v>197</v>
      </c>
      <c r="B198" s="196" t="s">
        <v>473</v>
      </c>
      <c r="C198" s="196" t="s">
        <v>465</v>
      </c>
      <c r="D198" s="196" t="s">
        <v>466</v>
      </c>
      <c r="E198" s="197">
        <v>42360</v>
      </c>
      <c r="F198" s="196">
        <v>582</v>
      </c>
    </row>
    <row r="199" spans="1:6" ht="15">
      <c r="A199" s="196">
        <v>198</v>
      </c>
      <c r="B199" s="196" t="s">
        <v>469</v>
      </c>
      <c r="C199" s="196" t="s">
        <v>470</v>
      </c>
      <c r="D199" s="196" t="s">
        <v>339</v>
      </c>
      <c r="E199" s="197">
        <v>42068</v>
      </c>
      <c r="F199" s="196">
        <v>26609</v>
      </c>
    </row>
    <row r="200" spans="1:6" ht="15">
      <c r="A200" s="196">
        <v>199</v>
      </c>
      <c r="B200" s="196" t="s">
        <v>469</v>
      </c>
      <c r="C200" s="196" t="s">
        <v>468</v>
      </c>
      <c r="D200" s="196" t="s">
        <v>478</v>
      </c>
      <c r="E200" s="197">
        <v>42446</v>
      </c>
      <c r="F200" s="196">
        <v>13974</v>
      </c>
    </row>
    <row r="201" spans="1:6" ht="15">
      <c r="A201" s="196">
        <v>200</v>
      </c>
      <c r="B201" s="196" t="s">
        <v>467</v>
      </c>
      <c r="C201" s="196" t="s">
        <v>470</v>
      </c>
      <c r="D201" s="196" t="s">
        <v>339</v>
      </c>
      <c r="E201" s="197">
        <v>42034</v>
      </c>
      <c r="F201" s="196">
        <v>15430</v>
      </c>
    </row>
    <row r="202" spans="1:6" ht="15">
      <c r="A202" s="196">
        <v>201</v>
      </c>
      <c r="B202" s="196" t="s">
        <v>473</v>
      </c>
      <c r="C202" s="196" t="s">
        <v>468</v>
      </c>
      <c r="D202" s="196" t="s">
        <v>479</v>
      </c>
      <c r="E202" s="197">
        <v>41934</v>
      </c>
      <c r="F202" s="196">
        <v>5129</v>
      </c>
    </row>
    <row r="203" spans="1:6" ht="15">
      <c r="A203" s="196">
        <v>202</v>
      </c>
      <c r="B203" s="196" t="s">
        <v>469</v>
      </c>
      <c r="C203" s="196" t="s">
        <v>463</v>
      </c>
      <c r="D203" s="196" t="s">
        <v>339</v>
      </c>
      <c r="E203" s="197">
        <v>42649</v>
      </c>
      <c r="F203" s="196">
        <v>14378</v>
      </c>
    </row>
    <row r="204" spans="1:6" ht="15">
      <c r="A204" s="196">
        <v>203</v>
      </c>
      <c r="B204" s="196" t="s">
        <v>471</v>
      </c>
      <c r="C204" s="196" t="s">
        <v>468</v>
      </c>
      <c r="D204" s="196" t="s">
        <v>344</v>
      </c>
      <c r="E204" s="197">
        <v>42301</v>
      </c>
      <c r="F204" s="196">
        <v>17436</v>
      </c>
    </row>
    <row r="205" spans="1:6" ht="15">
      <c r="A205" s="196">
        <v>204</v>
      </c>
      <c r="B205" s="196" t="s">
        <v>469</v>
      </c>
      <c r="C205" s="196" t="s">
        <v>465</v>
      </c>
      <c r="D205" s="196" t="s">
        <v>479</v>
      </c>
      <c r="E205" s="197">
        <v>42761</v>
      </c>
      <c r="F205" s="196">
        <v>7738</v>
      </c>
    </row>
    <row r="206" spans="1:6" ht="15">
      <c r="A206" s="196">
        <v>205</v>
      </c>
      <c r="B206" s="196" t="s">
        <v>473</v>
      </c>
      <c r="C206" s="196" t="s">
        <v>463</v>
      </c>
      <c r="D206" s="196" t="s">
        <v>339</v>
      </c>
      <c r="E206" s="197">
        <v>42077</v>
      </c>
      <c r="F206" s="196">
        <v>167</v>
      </c>
    </row>
    <row r="207" spans="1:6" ht="15">
      <c r="A207" s="196">
        <v>206</v>
      </c>
      <c r="B207" s="196" t="s">
        <v>464</v>
      </c>
      <c r="C207" s="196" t="s">
        <v>468</v>
      </c>
      <c r="D207" s="196" t="s">
        <v>479</v>
      </c>
      <c r="E207" s="197">
        <v>42017</v>
      </c>
      <c r="F207" s="196">
        <v>28716</v>
      </c>
    </row>
    <row r="208" spans="1:6" ht="15">
      <c r="A208" s="196">
        <v>207</v>
      </c>
      <c r="B208" s="196" t="s">
        <v>467</v>
      </c>
      <c r="C208" s="196" t="s">
        <v>463</v>
      </c>
      <c r="D208" s="196" t="s">
        <v>472</v>
      </c>
      <c r="E208" s="197">
        <v>42024</v>
      </c>
      <c r="F208" s="196">
        <v>10465</v>
      </c>
    </row>
    <row r="209" spans="1:6" ht="15">
      <c r="A209" s="196">
        <v>208</v>
      </c>
      <c r="B209" s="196" t="s">
        <v>471</v>
      </c>
      <c r="C209" s="196" t="s">
        <v>463</v>
      </c>
      <c r="D209" s="196" t="s">
        <v>476</v>
      </c>
      <c r="E209" s="197">
        <v>42065</v>
      </c>
      <c r="F209" s="196">
        <v>19774</v>
      </c>
    </row>
    <row r="210" spans="1:6" ht="15">
      <c r="A210" s="196">
        <v>209</v>
      </c>
      <c r="B210" s="196" t="s">
        <v>471</v>
      </c>
      <c r="C210" s="196" t="s">
        <v>465</v>
      </c>
      <c r="D210" s="196" t="s">
        <v>477</v>
      </c>
      <c r="E210" s="197">
        <v>42048</v>
      </c>
      <c r="F210" s="196">
        <v>1701</v>
      </c>
    </row>
    <row r="211" spans="1:6" ht="15">
      <c r="A211" s="196">
        <v>210</v>
      </c>
      <c r="B211" s="196" t="s">
        <v>467</v>
      </c>
      <c r="C211" s="196" t="s">
        <v>470</v>
      </c>
      <c r="D211" s="196" t="s">
        <v>350</v>
      </c>
      <c r="E211" s="197">
        <v>42829</v>
      </c>
      <c r="F211" s="196">
        <v>11553</v>
      </c>
    </row>
    <row r="212" spans="1:6" ht="15">
      <c r="A212" s="196">
        <v>211</v>
      </c>
      <c r="B212" s="196" t="s">
        <v>467</v>
      </c>
      <c r="C212" s="196" t="s">
        <v>463</v>
      </c>
      <c r="D212" s="196" t="s">
        <v>348</v>
      </c>
      <c r="E212" s="197">
        <v>41972</v>
      </c>
      <c r="F212" s="196">
        <v>11343</v>
      </c>
    </row>
    <row r="213" spans="1:6" ht="15">
      <c r="A213" s="196">
        <v>212</v>
      </c>
      <c r="B213" s="196" t="s">
        <v>469</v>
      </c>
      <c r="C213" s="196" t="s">
        <v>463</v>
      </c>
      <c r="D213" s="196" t="s">
        <v>475</v>
      </c>
      <c r="E213" s="197">
        <v>42831</v>
      </c>
      <c r="F213" s="196">
        <v>14323</v>
      </c>
    </row>
    <row r="214" spans="1:6" ht="15">
      <c r="A214" s="196">
        <v>213</v>
      </c>
      <c r="B214" s="196" t="s">
        <v>473</v>
      </c>
      <c r="C214" s="196" t="s">
        <v>468</v>
      </c>
      <c r="D214" s="196" t="s">
        <v>477</v>
      </c>
      <c r="E214" s="197">
        <v>42510</v>
      </c>
      <c r="F214" s="196">
        <v>4299</v>
      </c>
    </row>
    <row r="215" spans="1:6" ht="15">
      <c r="A215" s="196">
        <v>214</v>
      </c>
      <c r="B215" s="196" t="s">
        <v>467</v>
      </c>
      <c r="C215" s="196" t="s">
        <v>463</v>
      </c>
      <c r="D215" s="196" t="s">
        <v>466</v>
      </c>
      <c r="E215" s="197">
        <v>42571</v>
      </c>
      <c r="F215" s="196">
        <v>6950</v>
      </c>
    </row>
    <row r="216" spans="1:6" ht="15">
      <c r="A216" s="196">
        <v>215</v>
      </c>
      <c r="B216" s="196" t="s">
        <v>471</v>
      </c>
      <c r="C216" s="196" t="s">
        <v>470</v>
      </c>
      <c r="D216" s="196" t="s">
        <v>346</v>
      </c>
      <c r="E216" s="197">
        <v>42605</v>
      </c>
      <c r="F216" s="196">
        <v>477</v>
      </c>
    </row>
    <row r="217" spans="1:6" ht="15">
      <c r="A217" s="196">
        <v>216</v>
      </c>
      <c r="B217" s="196" t="s">
        <v>469</v>
      </c>
      <c r="C217" s="196" t="s">
        <v>465</v>
      </c>
      <c r="D217" s="196" t="s">
        <v>344</v>
      </c>
      <c r="E217" s="197">
        <v>42075</v>
      </c>
      <c r="F217" s="196">
        <v>16256</v>
      </c>
    </row>
    <row r="218" spans="1:6" ht="15">
      <c r="A218" s="196">
        <v>217</v>
      </c>
      <c r="B218" s="196" t="s">
        <v>464</v>
      </c>
      <c r="C218" s="196" t="s">
        <v>468</v>
      </c>
      <c r="D218" s="196" t="s">
        <v>472</v>
      </c>
      <c r="E218" s="197">
        <v>42206</v>
      </c>
      <c r="F218" s="196">
        <v>3367</v>
      </c>
    </row>
    <row r="219" spans="1:6" ht="15">
      <c r="A219" s="196">
        <v>218</v>
      </c>
      <c r="B219" s="196" t="s">
        <v>464</v>
      </c>
      <c r="C219" s="196" t="s">
        <v>468</v>
      </c>
      <c r="D219" s="196" t="s">
        <v>480</v>
      </c>
      <c r="E219" s="197">
        <v>42371</v>
      </c>
      <c r="F219" s="196">
        <v>19570</v>
      </c>
    </row>
    <row r="220" spans="1:6" ht="15">
      <c r="A220" s="196">
        <v>219</v>
      </c>
      <c r="B220" s="196" t="s">
        <v>462</v>
      </c>
      <c r="C220" s="196" t="s">
        <v>470</v>
      </c>
      <c r="D220" s="196" t="s">
        <v>350</v>
      </c>
      <c r="E220" s="197">
        <v>42507</v>
      </c>
      <c r="F220" s="196">
        <v>5541</v>
      </c>
    </row>
    <row r="221" spans="1:6" ht="15">
      <c r="A221" s="196">
        <v>220</v>
      </c>
      <c r="B221" s="196" t="s">
        <v>473</v>
      </c>
      <c r="C221" s="196" t="s">
        <v>468</v>
      </c>
      <c r="D221" s="196" t="s">
        <v>474</v>
      </c>
      <c r="E221" s="197">
        <v>41947</v>
      </c>
      <c r="F221" s="196">
        <v>16653</v>
      </c>
    </row>
    <row r="222" spans="1:6" ht="15">
      <c r="A222" s="196">
        <v>221</v>
      </c>
      <c r="B222" s="196" t="s">
        <v>464</v>
      </c>
      <c r="C222" s="196" t="s">
        <v>470</v>
      </c>
      <c r="D222" s="196" t="s">
        <v>339</v>
      </c>
      <c r="E222" s="197">
        <v>42346</v>
      </c>
      <c r="F222" s="196">
        <v>13228</v>
      </c>
    </row>
    <row r="223" spans="1:6" ht="15">
      <c r="A223" s="196">
        <v>222</v>
      </c>
      <c r="B223" s="196" t="s">
        <v>462</v>
      </c>
      <c r="C223" s="196" t="s">
        <v>465</v>
      </c>
      <c r="D223" s="196" t="s">
        <v>350</v>
      </c>
      <c r="E223" s="197">
        <v>42799</v>
      </c>
      <c r="F223" s="196">
        <v>2330</v>
      </c>
    </row>
    <row r="224" spans="1:6" ht="15">
      <c r="A224" s="196">
        <v>223</v>
      </c>
      <c r="B224" s="196" t="s">
        <v>471</v>
      </c>
      <c r="C224" s="196" t="s">
        <v>468</v>
      </c>
      <c r="D224" s="196" t="s">
        <v>478</v>
      </c>
      <c r="E224" s="197">
        <v>41940</v>
      </c>
      <c r="F224" s="196">
        <v>3749</v>
      </c>
    </row>
    <row r="225" spans="1:6" ht="15">
      <c r="A225" s="196">
        <v>224</v>
      </c>
      <c r="B225" s="196" t="s">
        <v>462</v>
      </c>
      <c r="C225" s="196" t="s">
        <v>468</v>
      </c>
      <c r="D225" s="196" t="s">
        <v>344</v>
      </c>
      <c r="E225" s="197">
        <v>42192</v>
      </c>
      <c r="F225" s="196">
        <v>22266</v>
      </c>
    </row>
    <row r="226" spans="1:6" ht="15">
      <c r="A226" s="196">
        <v>225</v>
      </c>
      <c r="B226" s="196" t="s">
        <v>471</v>
      </c>
      <c r="C226" s="196" t="s">
        <v>470</v>
      </c>
      <c r="D226" s="196" t="s">
        <v>474</v>
      </c>
      <c r="E226" s="197">
        <v>42179</v>
      </c>
      <c r="F226" s="196">
        <v>4408</v>
      </c>
    </row>
    <row r="227" spans="1:6" ht="15">
      <c r="A227" s="196">
        <v>226</v>
      </c>
      <c r="B227" s="196" t="s">
        <v>467</v>
      </c>
      <c r="C227" s="196" t="s">
        <v>470</v>
      </c>
      <c r="D227" s="196" t="s">
        <v>478</v>
      </c>
      <c r="E227" s="197">
        <v>42218</v>
      </c>
      <c r="F227" s="196">
        <v>5724</v>
      </c>
    </row>
    <row r="228" spans="1:6" ht="15">
      <c r="A228" s="196">
        <v>227</v>
      </c>
      <c r="B228" s="196" t="s">
        <v>469</v>
      </c>
      <c r="C228" s="196" t="s">
        <v>465</v>
      </c>
      <c r="D228" s="196" t="s">
        <v>475</v>
      </c>
      <c r="E228" s="197">
        <v>42512</v>
      </c>
      <c r="F228" s="196">
        <v>19735</v>
      </c>
    </row>
    <row r="229" spans="1:6" ht="15">
      <c r="A229" s="196">
        <v>228</v>
      </c>
      <c r="B229" s="196" t="s">
        <v>469</v>
      </c>
      <c r="C229" s="196" t="s">
        <v>468</v>
      </c>
      <c r="D229" s="196" t="s">
        <v>479</v>
      </c>
      <c r="E229" s="197">
        <v>42351</v>
      </c>
      <c r="F229" s="196">
        <v>13534</v>
      </c>
    </row>
    <row r="230" spans="1:6" ht="15">
      <c r="A230" s="196">
        <v>229</v>
      </c>
      <c r="B230" s="196" t="s">
        <v>462</v>
      </c>
      <c r="C230" s="196" t="s">
        <v>470</v>
      </c>
      <c r="D230" s="196" t="s">
        <v>348</v>
      </c>
      <c r="E230" s="197">
        <v>42364</v>
      </c>
      <c r="F230" s="196">
        <v>483</v>
      </c>
    </row>
    <row r="231" spans="1:6" ht="15">
      <c r="A231" s="196">
        <v>230</v>
      </c>
      <c r="B231" s="196" t="s">
        <v>471</v>
      </c>
      <c r="C231" s="196" t="s">
        <v>470</v>
      </c>
      <c r="D231" s="196" t="s">
        <v>339</v>
      </c>
      <c r="E231" s="197">
        <v>42542</v>
      </c>
      <c r="F231" s="196">
        <v>1069</v>
      </c>
    </row>
    <row r="232" spans="1:6" ht="15">
      <c r="A232" s="196">
        <v>231</v>
      </c>
      <c r="B232" s="196" t="s">
        <v>464</v>
      </c>
      <c r="C232" s="196" t="s">
        <v>463</v>
      </c>
      <c r="D232" s="196" t="s">
        <v>346</v>
      </c>
      <c r="E232" s="197">
        <v>42656</v>
      </c>
      <c r="F232" s="196">
        <v>22508</v>
      </c>
    </row>
    <row r="233" spans="1:6" ht="15">
      <c r="A233" s="196">
        <v>232</v>
      </c>
      <c r="B233" s="196" t="s">
        <v>471</v>
      </c>
      <c r="C233" s="196" t="s">
        <v>465</v>
      </c>
      <c r="D233" s="196" t="s">
        <v>350</v>
      </c>
      <c r="E233" s="197">
        <v>42701</v>
      </c>
      <c r="F233" s="196">
        <v>2949</v>
      </c>
    </row>
    <row r="234" spans="1:6" ht="15">
      <c r="A234" s="196">
        <v>233</v>
      </c>
      <c r="B234" s="196" t="s">
        <v>464</v>
      </c>
      <c r="C234" s="196" t="s">
        <v>465</v>
      </c>
      <c r="D234" s="196" t="s">
        <v>344</v>
      </c>
      <c r="E234" s="197">
        <v>42404</v>
      </c>
      <c r="F234" s="196">
        <v>8327</v>
      </c>
    </row>
    <row r="235" spans="1:6" ht="15">
      <c r="A235" s="196">
        <v>234</v>
      </c>
      <c r="B235" s="196" t="s">
        <v>462</v>
      </c>
      <c r="C235" s="196" t="s">
        <v>463</v>
      </c>
      <c r="D235" s="196" t="s">
        <v>476</v>
      </c>
      <c r="E235" s="197">
        <v>42182</v>
      </c>
      <c r="F235" s="196">
        <v>764</v>
      </c>
    </row>
    <row r="236" spans="1:6" ht="15">
      <c r="A236" s="196">
        <v>235</v>
      </c>
      <c r="B236" s="196" t="s">
        <v>469</v>
      </c>
      <c r="C236" s="196" t="s">
        <v>470</v>
      </c>
      <c r="D236" s="196" t="s">
        <v>348</v>
      </c>
      <c r="E236" s="197">
        <v>42247</v>
      </c>
      <c r="F236" s="196">
        <v>22234</v>
      </c>
    </row>
    <row r="237" spans="1:6" ht="15">
      <c r="A237" s="196">
        <v>236</v>
      </c>
      <c r="B237" s="196" t="s">
        <v>471</v>
      </c>
      <c r="C237" s="196" t="s">
        <v>468</v>
      </c>
      <c r="D237" s="196" t="s">
        <v>480</v>
      </c>
      <c r="E237" s="197">
        <v>42129</v>
      </c>
      <c r="F237" s="196">
        <v>3982</v>
      </c>
    </row>
    <row r="238" spans="1:6" ht="15">
      <c r="A238" s="196">
        <v>237</v>
      </c>
      <c r="B238" s="196" t="s">
        <v>464</v>
      </c>
      <c r="C238" s="196" t="s">
        <v>470</v>
      </c>
      <c r="D238" s="196" t="s">
        <v>480</v>
      </c>
      <c r="E238" s="197">
        <v>42646</v>
      </c>
      <c r="F238" s="196">
        <v>19161</v>
      </c>
    </row>
    <row r="239" spans="1:6" ht="15">
      <c r="A239" s="196">
        <v>238</v>
      </c>
      <c r="B239" s="196" t="s">
        <v>469</v>
      </c>
      <c r="C239" s="196" t="s">
        <v>470</v>
      </c>
      <c r="D239" s="196" t="s">
        <v>480</v>
      </c>
      <c r="E239" s="197">
        <v>42243</v>
      </c>
      <c r="F239" s="196">
        <v>25618</v>
      </c>
    </row>
    <row r="240" spans="1:6" ht="15">
      <c r="A240" s="196">
        <v>239</v>
      </c>
      <c r="B240" s="196" t="s">
        <v>469</v>
      </c>
      <c r="C240" s="196" t="s">
        <v>468</v>
      </c>
      <c r="D240" s="196" t="s">
        <v>480</v>
      </c>
      <c r="E240" s="197">
        <v>42719</v>
      </c>
      <c r="F240" s="196">
        <v>16357</v>
      </c>
    </row>
    <row r="241" spans="1:6" ht="15">
      <c r="A241" s="196">
        <v>240</v>
      </c>
      <c r="B241" s="196" t="s">
        <v>462</v>
      </c>
      <c r="C241" s="196" t="s">
        <v>463</v>
      </c>
      <c r="D241" s="196" t="s">
        <v>475</v>
      </c>
      <c r="E241" s="197">
        <v>42751</v>
      </c>
      <c r="F241" s="196">
        <v>12870</v>
      </c>
    </row>
    <row r="242" spans="1:6" ht="15">
      <c r="A242" s="196">
        <v>241</v>
      </c>
      <c r="B242" s="196" t="s">
        <v>467</v>
      </c>
      <c r="C242" s="196" t="s">
        <v>465</v>
      </c>
      <c r="D242" s="196" t="s">
        <v>350</v>
      </c>
      <c r="E242" s="197">
        <v>42702</v>
      </c>
      <c r="F242" s="196">
        <v>15290</v>
      </c>
    </row>
    <row r="243" spans="1:6" ht="15">
      <c r="A243" s="196">
        <v>242</v>
      </c>
      <c r="B243" s="196" t="s">
        <v>469</v>
      </c>
      <c r="C243" s="196" t="s">
        <v>468</v>
      </c>
      <c r="D243" s="196" t="s">
        <v>480</v>
      </c>
      <c r="E243" s="197">
        <v>42105</v>
      </c>
      <c r="F243" s="196">
        <v>24544</v>
      </c>
    </row>
    <row r="244" spans="1:6" ht="15">
      <c r="A244" s="196">
        <v>243</v>
      </c>
      <c r="B244" s="196" t="s">
        <v>464</v>
      </c>
      <c r="C244" s="196" t="s">
        <v>463</v>
      </c>
      <c r="D244" s="196" t="s">
        <v>339</v>
      </c>
      <c r="E244" s="197">
        <v>42141</v>
      </c>
      <c r="F244" s="196">
        <v>25167</v>
      </c>
    </row>
    <row r="245" spans="1:6" ht="15">
      <c r="A245" s="196">
        <v>244</v>
      </c>
      <c r="B245" s="196" t="s">
        <v>462</v>
      </c>
      <c r="C245" s="196" t="s">
        <v>465</v>
      </c>
      <c r="D245" s="196" t="s">
        <v>466</v>
      </c>
      <c r="E245" s="197">
        <v>42337</v>
      </c>
      <c r="F245" s="196">
        <v>8087</v>
      </c>
    </row>
    <row r="246" spans="1:6" ht="15">
      <c r="A246" s="196">
        <v>245</v>
      </c>
      <c r="B246" s="196" t="s">
        <v>473</v>
      </c>
      <c r="C246" s="196" t="s">
        <v>465</v>
      </c>
      <c r="D246" s="196" t="s">
        <v>475</v>
      </c>
      <c r="E246" s="197">
        <v>42091</v>
      </c>
      <c r="F246" s="196">
        <v>4958</v>
      </c>
    </row>
    <row r="247" spans="1:6" ht="15">
      <c r="A247" s="196">
        <v>246</v>
      </c>
      <c r="B247" s="196" t="s">
        <v>467</v>
      </c>
      <c r="C247" s="196" t="s">
        <v>463</v>
      </c>
      <c r="D247" s="196" t="s">
        <v>475</v>
      </c>
      <c r="E247" s="197">
        <v>42202</v>
      </c>
      <c r="F247" s="196">
        <v>21435</v>
      </c>
    </row>
    <row r="248" spans="1:6" ht="15">
      <c r="A248" s="196">
        <v>247</v>
      </c>
      <c r="B248" s="196" t="s">
        <v>462</v>
      </c>
      <c r="C248" s="196" t="s">
        <v>463</v>
      </c>
      <c r="D248" s="196" t="s">
        <v>474</v>
      </c>
      <c r="E248" s="197">
        <v>42059</v>
      </c>
      <c r="F248" s="196">
        <v>14050</v>
      </c>
    </row>
    <row r="249" spans="1:6" ht="15">
      <c r="A249" s="196">
        <v>248</v>
      </c>
      <c r="B249" s="196" t="s">
        <v>464</v>
      </c>
      <c r="C249" s="196" t="s">
        <v>468</v>
      </c>
      <c r="D249" s="196" t="s">
        <v>474</v>
      </c>
      <c r="E249" s="197">
        <v>41969</v>
      </c>
      <c r="F249" s="196">
        <v>7083</v>
      </c>
    </row>
    <row r="250" spans="1:6" ht="15">
      <c r="A250" s="196">
        <v>249</v>
      </c>
      <c r="B250" s="196" t="s">
        <v>471</v>
      </c>
      <c r="C250" s="196" t="s">
        <v>468</v>
      </c>
      <c r="D250" s="196" t="s">
        <v>477</v>
      </c>
      <c r="E250" s="197">
        <v>42431</v>
      </c>
      <c r="F250" s="196">
        <v>4299</v>
      </c>
    </row>
    <row r="251" spans="1:6" ht="15">
      <c r="A251" s="196">
        <v>250</v>
      </c>
      <c r="B251" s="196" t="s">
        <v>467</v>
      </c>
      <c r="C251" s="196" t="s">
        <v>470</v>
      </c>
      <c r="D251" s="196" t="s">
        <v>480</v>
      </c>
      <c r="E251" s="197">
        <v>42779</v>
      </c>
      <c r="F251" s="196">
        <v>10402</v>
      </c>
    </row>
    <row r="252" spans="1:6" ht="15">
      <c r="A252" s="196">
        <v>251</v>
      </c>
      <c r="B252" s="196" t="s">
        <v>467</v>
      </c>
      <c r="C252" s="196" t="s">
        <v>463</v>
      </c>
      <c r="D252" s="196" t="s">
        <v>474</v>
      </c>
      <c r="E252" s="197">
        <v>42649</v>
      </c>
      <c r="F252" s="196">
        <v>7696</v>
      </c>
    </row>
    <row r="253" spans="1:6" ht="15">
      <c r="A253" s="196">
        <v>252</v>
      </c>
      <c r="B253" s="196" t="s">
        <v>473</v>
      </c>
      <c r="C253" s="196" t="s">
        <v>465</v>
      </c>
      <c r="D253" s="196" t="s">
        <v>474</v>
      </c>
      <c r="E253" s="197">
        <v>42837</v>
      </c>
      <c r="F253" s="196">
        <v>8513</v>
      </c>
    </row>
    <row r="254" spans="1:6" ht="15">
      <c r="A254" s="196">
        <v>253</v>
      </c>
      <c r="B254" s="196" t="s">
        <v>473</v>
      </c>
      <c r="C254" s="196" t="s">
        <v>465</v>
      </c>
      <c r="D254" s="196" t="s">
        <v>478</v>
      </c>
      <c r="E254" s="197">
        <v>42443</v>
      </c>
      <c r="F254" s="196">
        <v>17046</v>
      </c>
    </row>
    <row r="255" spans="1:6" ht="15">
      <c r="A255" s="196">
        <v>254</v>
      </c>
      <c r="B255" s="196" t="s">
        <v>462</v>
      </c>
      <c r="C255" s="196" t="s">
        <v>465</v>
      </c>
      <c r="D255" s="196" t="s">
        <v>344</v>
      </c>
      <c r="E255" s="197">
        <v>42210</v>
      </c>
      <c r="F255" s="196">
        <v>21205</v>
      </c>
    </row>
    <row r="256" spans="1:6" ht="15">
      <c r="A256" s="196">
        <v>255</v>
      </c>
      <c r="B256" s="196" t="s">
        <v>464</v>
      </c>
      <c r="C256" s="196" t="s">
        <v>470</v>
      </c>
      <c r="D256" s="196" t="s">
        <v>348</v>
      </c>
      <c r="E256" s="197">
        <v>42110</v>
      </c>
      <c r="F256" s="196">
        <v>9278</v>
      </c>
    </row>
    <row r="257" spans="1:6" ht="15">
      <c r="A257" s="196">
        <v>256</v>
      </c>
      <c r="B257" s="196" t="s">
        <v>467</v>
      </c>
      <c r="C257" s="196" t="s">
        <v>468</v>
      </c>
      <c r="D257" s="196" t="s">
        <v>346</v>
      </c>
      <c r="E257" s="197">
        <v>42618</v>
      </c>
      <c r="F257" s="196">
        <v>11317</v>
      </c>
    </row>
    <row r="258" spans="1:6" ht="15">
      <c r="A258" s="196">
        <v>257</v>
      </c>
      <c r="B258" s="196" t="s">
        <v>469</v>
      </c>
      <c r="C258" s="196" t="s">
        <v>470</v>
      </c>
      <c r="D258" s="196" t="s">
        <v>339</v>
      </c>
      <c r="E258" s="197">
        <v>42758</v>
      </c>
      <c r="F258" s="196">
        <v>16301</v>
      </c>
    </row>
    <row r="259" spans="1:6" ht="15">
      <c r="A259" s="196">
        <v>258</v>
      </c>
      <c r="B259" s="196" t="s">
        <v>467</v>
      </c>
      <c r="C259" s="196" t="s">
        <v>463</v>
      </c>
      <c r="D259" s="196" t="s">
        <v>346</v>
      </c>
      <c r="E259" s="197">
        <v>42482</v>
      </c>
      <c r="F259" s="196">
        <v>2673</v>
      </c>
    </row>
    <row r="260" spans="1:6" ht="15">
      <c r="A260" s="196">
        <v>259</v>
      </c>
      <c r="B260" s="196" t="s">
        <v>462</v>
      </c>
      <c r="C260" s="196" t="s">
        <v>465</v>
      </c>
      <c r="D260" s="196" t="s">
        <v>478</v>
      </c>
      <c r="E260" s="197">
        <v>42359</v>
      </c>
      <c r="F260" s="196">
        <v>15505</v>
      </c>
    </row>
    <row r="261" spans="1:6" ht="15">
      <c r="A261" s="196">
        <v>260</v>
      </c>
      <c r="B261" s="196" t="s">
        <v>462</v>
      </c>
      <c r="C261" s="196" t="s">
        <v>465</v>
      </c>
      <c r="D261" s="196" t="s">
        <v>475</v>
      </c>
      <c r="E261" s="197">
        <v>42849</v>
      </c>
      <c r="F261" s="196">
        <v>16881</v>
      </c>
    </row>
    <row r="262" spans="1:6" ht="15">
      <c r="A262" s="196">
        <v>261</v>
      </c>
      <c r="B262" s="196" t="s">
        <v>462</v>
      </c>
      <c r="C262" s="196" t="s">
        <v>470</v>
      </c>
      <c r="D262" s="196" t="s">
        <v>348</v>
      </c>
      <c r="E262" s="197">
        <v>42199</v>
      </c>
      <c r="F262" s="196">
        <v>24865</v>
      </c>
    </row>
    <row r="263" spans="1:6" ht="15">
      <c r="A263" s="196">
        <v>262</v>
      </c>
      <c r="B263" s="196" t="s">
        <v>469</v>
      </c>
      <c r="C263" s="196" t="s">
        <v>465</v>
      </c>
      <c r="D263" s="196" t="s">
        <v>348</v>
      </c>
      <c r="E263" s="197">
        <v>42095</v>
      </c>
      <c r="F263" s="196">
        <v>10275</v>
      </c>
    </row>
    <row r="264" spans="1:6" ht="15">
      <c r="A264" s="196">
        <v>263</v>
      </c>
      <c r="B264" s="196" t="s">
        <v>469</v>
      </c>
      <c r="C264" s="196" t="s">
        <v>470</v>
      </c>
      <c r="D264" s="196" t="s">
        <v>344</v>
      </c>
      <c r="E264" s="197">
        <v>42804</v>
      </c>
      <c r="F264" s="196">
        <v>27039</v>
      </c>
    </row>
    <row r="265" spans="1:6" ht="15">
      <c r="A265" s="196">
        <v>264</v>
      </c>
      <c r="B265" s="196" t="s">
        <v>462</v>
      </c>
      <c r="C265" s="196" t="s">
        <v>463</v>
      </c>
      <c r="D265" s="196" t="s">
        <v>348</v>
      </c>
      <c r="E265" s="197">
        <v>42710</v>
      </c>
      <c r="F265" s="196">
        <v>23980</v>
      </c>
    </row>
    <row r="266" spans="1:6" ht="15">
      <c r="A266" s="196">
        <v>265</v>
      </c>
      <c r="B266" s="196" t="s">
        <v>464</v>
      </c>
      <c r="C266" s="196" t="s">
        <v>470</v>
      </c>
      <c r="D266" s="196" t="s">
        <v>474</v>
      </c>
      <c r="E266" s="197">
        <v>42616</v>
      </c>
      <c r="F266" s="196">
        <v>25536</v>
      </c>
    </row>
    <row r="267" spans="1:6" ht="15">
      <c r="A267" s="196">
        <v>266</v>
      </c>
      <c r="B267" s="196" t="s">
        <v>462</v>
      </c>
      <c r="C267" s="196" t="s">
        <v>463</v>
      </c>
      <c r="D267" s="196" t="s">
        <v>346</v>
      </c>
      <c r="E267" s="197">
        <v>42162</v>
      </c>
      <c r="F267" s="196">
        <v>11774</v>
      </c>
    </row>
    <row r="268" spans="1:6" ht="15">
      <c r="A268" s="196">
        <v>267</v>
      </c>
      <c r="B268" s="196" t="s">
        <v>473</v>
      </c>
      <c r="C268" s="196" t="s">
        <v>470</v>
      </c>
      <c r="D268" s="196" t="s">
        <v>344</v>
      </c>
      <c r="E268" s="197">
        <v>42340</v>
      </c>
      <c r="F268" s="196">
        <v>1481</v>
      </c>
    </row>
    <row r="269" spans="1:6" ht="15">
      <c r="A269" s="196">
        <v>268</v>
      </c>
      <c r="B269" s="196" t="s">
        <v>469</v>
      </c>
      <c r="C269" s="196" t="s">
        <v>470</v>
      </c>
      <c r="D269" s="196" t="s">
        <v>339</v>
      </c>
      <c r="E269" s="197">
        <v>42217</v>
      </c>
      <c r="F269" s="196">
        <v>19932</v>
      </c>
    </row>
    <row r="270" spans="1:6" ht="15">
      <c r="A270" s="196">
        <v>269</v>
      </c>
      <c r="B270" s="196" t="s">
        <v>462</v>
      </c>
      <c r="C270" s="196" t="s">
        <v>465</v>
      </c>
      <c r="D270" s="196" t="s">
        <v>474</v>
      </c>
      <c r="E270" s="197">
        <v>42805</v>
      </c>
      <c r="F270" s="196">
        <v>18008</v>
      </c>
    </row>
    <row r="271" spans="1:6" ht="15">
      <c r="A271" s="196">
        <v>270</v>
      </c>
      <c r="B271" s="196" t="s">
        <v>469</v>
      </c>
      <c r="C271" s="196" t="s">
        <v>465</v>
      </c>
      <c r="D271" s="196" t="s">
        <v>350</v>
      </c>
      <c r="E271" s="197">
        <v>42229</v>
      </c>
      <c r="F271" s="196">
        <v>20789</v>
      </c>
    </row>
    <row r="272" spans="1:6" ht="15">
      <c r="A272" s="196">
        <v>271</v>
      </c>
      <c r="B272" s="196" t="s">
        <v>471</v>
      </c>
      <c r="C272" s="196" t="s">
        <v>465</v>
      </c>
      <c r="D272" s="196" t="s">
        <v>344</v>
      </c>
      <c r="E272" s="197">
        <v>42332</v>
      </c>
      <c r="F272" s="196">
        <v>18473</v>
      </c>
    </row>
    <row r="273" spans="1:6" ht="15">
      <c r="A273" s="196">
        <v>272</v>
      </c>
      <c r="B273" s="196" t="s">
        <v>464</v>
      </c>
      <c r="C273" s="196" t="s">
        <v>470</v>
      </c>
      <c r="D273" s="196" t="s">
        <v>350</v>
      </c>
      <c r="E273" s="197">
        <v>42671</v>
      </c>
      <c r="F273" s="196">
        <v>6942</v>
      </c>
    </row>
    <row r="274" spans="1:6" ht="15">
      <c r="A274" s="196">
        <v>273</v>
      </c>
      <c r="B274" s="196" t="s">
        <v>473</v>
      </c>
      <c r="C274" s="196" t="s">
        <v>465</v>
      </c>
      <c r="D274" s="196" t="s">
        <v>475</v>
      </c>
      <c r="E274" s="197">
        <v>42661</v>
      </c>
      <c r="F274" s="196">
        <v>11884</v>
      </c>
    </row>
    <row r="275" spans="1:6" ht="15">
      <c r="A275" s="196">
        <v>274</v>
      </c>
      <c r="B275" s="196" t="s">
        <v>469</v>
      </c>
      <c r="C275" s="196" t="s">
        <v>468</v>
      </c>
      <c r="D275" s="196" t="s">
        <v>472</v>
      </c>
      <c r="E275" s="197">
        <v>42291</v>
      </c>
      <c r="F275" s="196">
        <v>12166</v>
      </c>
    </row>
    <row r="276" spans="1:6" ht="15">
      <c r="A276" s="196">
        <v>275</v>
      </c>
      <c r="B276" s="196" t="s">
        <v>462</v>
      </c>
      <c r="C276" s="196" t="s">
        <v>463</v>
      </c>
      <c r="D276" s="196" t="s">
        <v>472</v>
      </c>
      <c r="E276" s="197">
        <v>42728</v>
      </c>
      <c r="F276" s="196">
        <v>20811</v>
      </c>
    </row>
    <row r="277" spans="1:6" ht="15">
      <c r="A277" s="196">
        <v>276</v>
      </c>
      <c r="B277" s="196" t="s">
        <v>469</v>
      </c>
      <c r="C277" s="196" t="s">
        <v>465</v>
      </c>
      <c r="D277" s="196" t="s">
        <v>466</v>
      </c>
      <c r="E277" s="197">
        <v>42131</v>
      </c>
      <c r="F277" s="196">
        <v>10548</v>
      </c>
    </row>
    <row r="278" spans="1:6" ht="15">
      <c r="A278" s="196">
        <v>277</v>
      </c>
      <c r="B278" s="196" t="s">
        <v>467</v>
      </c>
      <c r="C278" s="196" t="s">
        <v>468</v>
      </c>
      <c r="D278" s="196" t="s">
        <v>480</v>
      </c>
      <c r="E278" s="197">
        <v>41963</v>
      </c>
      <c r="F278" s="196">
        <v>20571</v>
      </c>
    </row>
    <row r="279" spans="1:6" ht="15">
      <c r="A279" s="196">
        <v>278</v>
      </c>
      <c r="B279" s="196" t="s">
        <v>462</v>
      </c>
      <c r="C279" s="196" t="s">
        <v>470</v>
      </c>
      <c r="D279" s="196" t="s">
        <v>339</v>
      </c>
      <c r="E279" s="197">
        <v>41942</v>
      </c>
      <c r="F279" s="196">
        <v>24624</v>
      </c>
    </row>
    <row r="280" spans="1:6" ht="15">
      <c r="A280" s="196">
        <v>279</v>
      </c>
      <c r="B280" s="196" t="s">
        <v>473</v>
      </c>
      <c r="C280" s="196" t="s">
        <v>470</v>
      </c>
      <c r="D280" s="196" t="s">
        <v>474</v>
      </c>
      <c r="E280" s="197">
        <v>42110</v>
      </c>
      <c r="F280" s="196">
        <v>4408</v>
      </c>
    </row>
    <row r="281" spans="1:6" ht="15">
      <c r="A281" s="196">
        <v>280</v>
      </c>
      <c r="B281" s="196" t="s">
        <v>471</v>
      </c>
      <c r="C281" s="196" t="s">
        <v>465</v>
      </c>
      <c r="D281" s="196" t="s">
        <v>478</v>
      </c>
      <c r="E281" s="197">
        <v>42343</v>
      </c>
      <c r="F281" s="196">
        <v>17046</v>
      </c>
    </row>
    <row r="282" spans="1:6" ht="15">
      <c r="A282" s="196">
        <v>281</v>
      </c>
      <c r="B282" s="196" t="s">
        <v>471</v>
      </c>
      <c r="C282" s="196" t="s">
        <v>470</v>
      </c>
      <c r="D282" s="196" t="s">
        <v>344</v>
      </c>
      <c r="E282" s="197">
        <v>42319</v>
      </c>
      <c r="F282" s="196">
        <v>1481</v>
      </c>
    </row>
    <row r="283" spans="1:6" ht="15">
      <c r="A283" s="196">
        <v>282</v>
      </c>
      <c r="B283" s="196" t="s">
        <v>464</v>
      </c>
      <c r="C283" s="196" t="s">
        <v>463</v>
      </c>
      <c r="D283" s="196" t="s">
        <v>344</v>
      </c>
      <c r="E283" s="197">
        <v>42790</v>
      </c>
      <c r="F283" s="196">
        <v>1568</v>
      </c>
    </row>
    <row r="284" spans="1:6" ht="15">
      <c r="A284" s="196">
        <v>283</v>
      </c>
      <c r="B284" s="196" t="s">
        <v>467</v>
      </c>
      <c r="C284" s="196" t="s">
        <v>468</v>
      </c>
      <c r="D284" s="196" t="s">
        <v>472</v>
      </c>
      <c r="E284" s="197">
        <v>42730</v>
      </c>
      <c r="F284" s="196">
        <v>2796</v>
      </c>
    </row>
    <row r="285" spans="1:6" ht="15">
      <c r="A285" s="196">
        <v>284</v>
      </c>
      <c r="B285" s="196" t="s">
        <v>471</v>
      </c>
      <c r="C285" s="196" t="s">
        <v>468</v>
      </c>
      <c r="D285" s="196" t="s">
        <v>479</v>
      </c>
      <c r="E285" s="197">
        <v>42536</v>
      </c>
      <c r="F285" s="196">
        <v>5129</v>
      </c>
    </row>
    <row r="286" spans="1:6" ht="15">
      <c r="A286" s="196">
        <v>285</v>
      </c>
      <c r="B286" s="196" t="s">
        <v>473</v>
      </c>
      <c r="C286" s="196" t="s">
        <v>463</v>
      </c>
      <c r="D286" s="196" t="s">
        <v>475</v>
      </c>
      <c r="E286" s="197">
        <v>42279</v>
      </c>
      <c r="F286" s="196">
        <v>5706</v>
      </c>
    </row>
    <row r="287" spans="1:6" ht="15">
      <c r="A287" s="196">
        <v>286</v>
      </c>
      <c r="B287" s="196" t="s">
        <v>462</v>
      </c>
      <c r="C287" s="196" t="s">
        <v>463</v>
      </c>
      <c r="D287" s="196" t="s">
        <v>476</v>
      </c>
      <c r="E287" s="197">
        <v>42802</v>
      </c>
      <c r="F287" s="196">
        <v>2993</v>
      </c>
    </row>
    <row r="288" spans="1:6" ht="15">
      <c r="A288" s="196">
        <v>287</v>
      </c>
      <c r="B288" s="196" t="s">
        <v>469</v>
      </c>
      <c r="C288" s="196" t="s">
        <v>463</v>
      </c>
      <c r="D288" s="196" t="s">
        <v>476</v>
      </c>
      <c r="E288" s="197">
        <v>42857</v>
      </c>
      <c r="F288" s="196">
        <v>2521</v>
      </c>
    </row>
    <row r="289" spans="1:6" ht="15">
      <c r="A289" s="196">
        <v>288</v>
      </c>
      <c r="B289" s="196" t="s">
        <v>473</v>
      </c>
      <c r="C289" s="196" t="s">
        <v>470</v>
      </c>
      <c r="D289" s="196" t="s">
        <v>339</v>
      </c>
      <c r="E289" s="197">
        <v>42114</v>
      </c>
      <c r="F289" s="196">
        <v>1069</v>
      </c>
    </row>
  </sheetData>
  <customSheetViews>
    <customSheetView guid="{32169818-EA48-4D2C-804F-10AFEFD0B9B2}" scale="115" showGridLines="0">
      <selection activeCell="G3" sqref="G3"/>
      <pageMargins left="0.75" right="0.75" top="1" bottom="1" header="0.5" footer="0.5"/>
      <printOptions headings="1" gridLines="1"/>
      <pageSetup scale="90" orientation="landscape" horizontalDpi="300" verticalDpi="300" r:id="rId1"/>
      <headerFooter alignWithMargins="0">
        <oddFooter>&amp;L&amp;A&amp;C&amp;BPragati Software Pvt. Ltd. Confidential&amp;B&amp;RPage &amp;P</oddFooter>
      </headerFooter>
    </customSheetView>
  </customSheetViews>
  <phoneticPr fontId="0" type="noConversion"/>
  <printOptions headings="1" gridLines="1"/>
  <pageMargins left="0.75" right="0.75" top="1" bottom="1" header="0.5" footer="0.5"/>
  <pageSetup scale="90" orientation="landscape" horizontalDpi="300" verticalDpi="300" r:id="rId2"/>
  <headerFooter alignWithMargins="0">
    <oddFooter>&amp;L&amp;A&amp;C&amp;BPragati Software Pvt. Ltd. Confidential&amp;B&amp;RPage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13C10-2E87-465E-9EB0-E390DBC8893E}">
  <dimension ref="B2:G16"/>
  <sheetViews>
    <sheetView zoomScale="104" workbookViewId="0">
      <selection activeCell="G4" sqref="G4"/>
    </sheetView>
  </sheetViews>
  <sheetFormatPr defaultRowHeight="15"/>
  <cols>
    <col min="2" max="2" width="11.7109375" bestFit="1" customWidth="1"/>
    <col min="3" max="3" width="16" bestFit="1" customWidth="1"/>
    <col min="7" max="7" width="12.42578125" bestFit="1" customWidth="1"/>
    <col min="10" max="10" width="9.5703125" bestFit="1" customWidth="1"/>
  </cols>
  <sheetData>
    <row r="2" spans="2:7" ht="18.75">
      <c r="B2" s="261" t="s">
        <v>268</v>
      </c>
      <c r="C2" s="262"/>
    </row>
    <row r="4" spans="2:7">
      <c r="B4" s="261" t="s">
        <v>753</v>
      </c>
      <c r="C4" s="263"/>
    </row>
    <row r="8" spans="2:7">
      <c r="B8" s="261" t="s">
        <v>752</v>
      </c>
      <c r="C8" s="261" t="s">
        <v>751</v>
      </c>
      <c r="D8" s="261" t="s">
        <v>750</v>
      </c>
      <c r="E8" s="261" t="s">
        <v>749</v>
      </c>
      <c r="F8" s="261" t="s">
        <v>748</v>
      </c>
      <c r="G8" s="261" t="s">
        <v>755</v>
      </c>
    </row>
    <row r="9" spans="2:7" ht="16.5" customHeight="1">
      <c r="B9" s="260">
        <v>41314</v>
      </c>
      <c r="C9" s="260">
        <v>42617</v>
      </c>
      <c r="D9" s="196"/>
      <c r="E9" s="196"/>
      <c r="F9" s="196"/>
      <c r="G9" s="196"/>
    </row>
    <row r="10" spans="2:7">
      <c r="B10" s="260">
        <v>41947</v>
      </c>
      <c r="C10" s="260">
        <v>42625</v>
      </c>
      <c r="D10" s="196"/>
      <c r="E10" s="196"/>
      <c r="F10" s="196"/>
      <c r="G10" s="196"/>
    </row>
    <row r="11" spans="2:7">
      <c r="B11" s="260">
        <v>41873</v>
      </c>
      <c r="C11" s="260">
        <v>42603</v>
      </c>
      <c r="D11" s="196"/>
      <c r="E11" s="196"/>
      <c r="F11" s="196"/>
      <c r="G11" s="196"/>
    </row>
    <row r="12" spans="2:7">
      <c r="B12" s="260">
        <v>41961</v>
      </c>
      <c r="C12" s="260">
        <v>42601</v>
      </c>
      <c r="D12" s="196"/>
      <c r="E12" s="196"/>
      <c r="F12" s="196"/>
      <c r="G12" s="196"/>
    </row>
    <row r="13" spans="2:7">
      <c r="B13" s="260">
        <v>41597</v>
      </c>
      <c r="C13" s="260">
        <v>42621</v>
      </c>
      <c r="D13" s="196"/>
      <c r="E13" s="196"/>
      <c r="F13" s="196"/>
      <c r="G13" s="196"/>
    </row>
    <row r="14" spans="2:7">
      <c r="B14" s="260">
        <v>41668</v>
      </c>
      <c r="C14" s="260">
        <v>42608</v>
      </c>
      <c r="D14" s="196"/>
      <c r="E14" s="196"/>
      <c r="F14" s="196"/>
      <c r="G14" s="196"/>
    </row>
    <row r="15" spans="2:7">
      <c r="B15" s="260">
        <v>41505</v>
      </c>
      <c r="C15" s="260">
        <v>42620</v>
      </c>
      <c r="D15" s="196"/>
      <c r="E15" s="196"/>
      <c r="F15" s="196"/>
      <c r="G15" s="196"/>
    </row>
    <row r="16" spans="2:7">
      <c r="B16" s="260">
        <v>41739</v>
      </c>
      <c r="C16" s="260">
        <v>42623</v>
      </c>
      <c r="D16" s="196"/>
      <c r="E16" s="196"/>
      <c r="F16" s="196"/>
      <c r="G16" s="19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8"/>
  <sheetViews>
    <sheetView showGridLines="0" zoomScale="145" zoomScaleNormal="145" workbookViewId="0">
      <selection activeCell="B12" sqref="B12"/>
    </sheetView>
  </sheetViews>
  <sheetFormatPr defaultColWidth="12.28515625" defaultRowHeight="12.75"/>
  <cols>
    <col min="1" max="4" width="12.28515625" style="117"/>
    <col min="5" max="7" width="0" style="117" hidden="1" customWidth="1"/>
    <col min="8" max="16384" width="12.28515625" style="117"/>
  </cols>
  <sheetData>
    <row r="2" spans="1:4">
      <c r="C2" s="123">
        <v>7.0000000000000007E-2</v>
      </c>
      <c r="D2" s="123">
        <v>0.1</v>
      </c>
    </row>
    <row r="3" spans="1:4" ht="30">
      <c r="A3" s="122" t="s">
        <v>457</v>
      </c>
      <c r="B3" s="121" t="s">
        <v>71</v>
      </c>
      <c r="C3" s="121" t="s">
        <v>458</v>
      </c>
      <c r="D3" s="121" t="s">
        <v>459</v>
      </c>
    </row>
    <row r="4" spans="1:4">
      <c r="A4" s="35" t="s">
        <v>178</v>
      </c>
      <c r="B4" s="120">
        <v>21875</v>
      </c>
      <c r="C4" s="124"/>
      <c r="D4" s="124"/>
    </row>
    <row r="5" spans="1:4">
      <c r="A5" s="35" t="s">
        <v>212</v>
      </c>
      <c r="B5" s="119">
        <v>17500</v>
      </c>
      <c r="C5" s="124"/>
      <c r="D5" s="124"/>
    </row>
    <row r="6" spans="1:4">
      <c r="A6" s="35" t="s">
        <v>129</v>
      </c>
      <c r="B6" s="119">
        <v>7000</v>
      </c>
      <c r="C6" s="124"/>
      <c r="D6" s="124"/>
    </row>
    <row r="7" spans="1:4">
      <c r="A7" s="35" t="s">
        <v>72</v>
      </c>
      <c r="B7" s="119">
        <v>12250</v>
      </c>
      <c r="C7" s="124"/>
      <c r="D7" s="124"/>
    </row>
    <row r="8" spans="1:4">
      <c r="A8" s="35" t="s">
        <v>197</v>
      </c>
      <c r="B8" s="119">
        <v>21000</v>
      </c>
      <c r="C8" s="124"/>
      <c r="D8" s="124"/>
    </row>
    <row r="9" spans="1:4">
      <c r="A9" s="35" t="s">
        <v>113</v>
      </c>
      <c r="B9" s="119">
        <v>12425</v>
      </c>
      <c r="C9" s="124"/>
      <c r="D9" s="124"/>
    </row>
    <row r="10" spans="1:4">
      <c r="A10" s="35" t="s">
        <v>89</v>
      </c>
      <c r="B10" s="119">
        <v>13825</v>
      </c>
      <c r="C10" s="124"/>
      <c r="D10" s="124"/>
    </row>
    <row r="11" spans="1:4">
      <c r="A11" s="35" t="s">
        <v>149</v>
      </c>
      <c r="B11" s="119">
        <v>12425</v>
      </c>
      <c r="C11" s="124"/>
      <c r="D11" s="124"/>
    </row>
    <row r="12" spans="1:4">
      <c r="A12" s="35" t="s">
        <v>156</v>
      </c>
      <c r="B12" s="119">
        <v>14875</v>
      </c>
      <c r="C12" s="124"/>
      <c r="D12" s="124"/>
    </row>
    <row r="13" spans="1:4">
      <c r="A13" s="35" t="s">
        <v>62</v>
      </c>
      <c r="B13" s="118">
        <v>15750</v>
      </c>
      <c r="C13" s="124"/>
      <c r="D13" s="124"/>
    </row>
    <row r="17" spans="3:3">
      <c r="C17" s="213"/>
    </row>
    <row r="18" spans="3:3">
      <c r="C18" s="213"/>
    </row>
  </sheetData>
  <customSheetViews>
    <customSheetView guid="{32169818-EA48-4D2C-804F-10AFEFD0B9B2}" scale="120" showGridLines="0" hiddenColumns="1">
      <selection activeCell="H4" sqref="H4"/>
      <pageMargins left="0.75" right="0.75" top="1" bottom="1" header="0.5" footer="0.5"/>
      <printOptions headings="1" gridLines="1"/>
      <pageSetup scale="90" orientation="landscape" horizontalDpi="300" verticalDpi="300" r:id="rId1"/>
      <headerFooter alignWithMargins="0">
        <oddFooter>&amp;L&amp;A&amp;C&amp;BPragati Software Pvt. Ltd. Confidential&amp;B&amp;RPage &amp;P</oddFooter>
      </headerFooter>
    </customSheetView>
  </customSheetViews>
  <printOptions headings="1" gridLines="1"/>
  <pageMargins left="0.75" right="0.75" top="1" bottom="1" header="0.5" footer="0.5"/>
  <pageSetup scale="90" orientation="landscape" horizontalDpi="300" verticalDpi="300" r:id="rId2"/>
  <headerFooter alignWithMargins="0">
    <oddFooter>&amp;L&amp;A&amp;C&amp;BPragati Software Pvt. Ltd. Confidential&amp;B&amp;RPage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O22"/>
  <sheetViews>
    <sheetView showGridLines="0" tabSelected="1" zoomScale="140" zoomScaleNormal="140" workbookViewId="0">
      <selection activeCell="E11" sqref="E11"/>
    </sheetView>
  </sheetViews>
  <sheetFormatPr defaultRowHeight="15"/>
  <cols>
    <col min="1" max="1" width="10.42578125" customWidth="1"/>
    <col min="2" max="2" width="11" bestFit="1" customWidth="1"/>
    <col min="3" max="3" width="8.5703125" bestFit="1" customWidth="1"/>
    <col min="4" max="4" width="10.5703125" bestFit="1" customWidth="1"/>
    <col min="5" max="5" width="14.7109375" bestFit="1" customWidth="1"/>
    <col min="6" max="6" width="10.5703125" bestFit="1" customWidth="1"/>
    <col min="7" max="7" width="8.5703125" bestFit="1" customWidth="1"/>
    <col min="8" max="8" width="11.5703125" bestFit="1" customWidth="1"/>
    <col min="9" max="9" width="8.5703125" bestFit="1" customWidth="1"/>
  </cols>
  <sheetData>
    <row r="1" spans="1:9">
      <c r="A1" s="84" t="s">
        <v>270</v>
      </c>
    </row>
    <row r="2" spans="1:9">
      <c r="A2" s="267" t="s">
        <v>1</v>
      </c>
      <c r="B2" s="268"/>
      <c r="C2" s="4">
        <v>50</v>
      </c>
      <c r="D2" s="5"/>
    </row>
    <row r="3" spans="1:9">
      <c r="A3" s="5"/>
      <c r="B3" s="5"/>
      <c r="C3" s="5"/>
      <c r="D3" s="5"/>
    </row>
    <row r="4" spans="1:9">
      <c r="A4" s="6" t="s">
        <v>2</v>
      </c>
      <c r="B4" s="7" t="s">
        <v>3</v>
      </c>
      <c r="C4" s="7" t="s">
        <v>4</v>
      </c>
      <c r="D4" s="7" t="s">
        <v>5</v>
      </c>
    </row>
    <row r="5" spans="1:9">
      <c r="A5" s="6">
        <v>234</v>
      </c>
      <c r="B5" s="7">
        <v>500</v>
      </c>
      <c r="C5" s="7">
        <v>300</v>
      </c>
      <c r="D5" s="7"/>
    </row>
    <row r="6" spans="1:9">
      <c r="A6" s="6">
        <v>46</v>
      </c>
      <c r="B6" s="7">
        <v>1000</v>
      </c>
      <c r="C6" s="7">
        <v>500</v>
      </c>
      <c r="D6" s="7"/>
    </row>
    <row r="7" spans="1:9">
      <c r="A7" s="6">
        <v>576</v>
      </c>
      <c r="B7" s="7">
        <v>750</v>
      </c>
      <c r="C7" s="7">
        <v>400</v>
      </c>
      <c r="D7" s="7"/>
    </row>
    <row r="8" spans="1:9">
      <c r="A8" s="6">
        <v>23</v>
      </c>
      <c r="B8" s="7">
        <v>350</v>
      </c>
      <c r="C8" s="7">
        <v>200</v>
      </c>
      <c r="D8" s="7"/>
    </row>
    <row r="9" spans="1:9">
      <c r="A9" s="6">
        <v>45</v>
      </c>
      <c r="B9" s="7">
        <v>450</v>
      </c>
      <c r="C9" s="7">
        <v>400</v>
      </c>
      <c r="D9" s="7"/>
    </row>
    <row r="11" spans="1:9">
      <c r="A11" s="72" t="s">
        <v>267</v>
      </c>
    </row>
    <row r="14" spans="1:9">
      <c r="A14" s="84" t="s">
        <v>271</v>
      </c>
    </row>
    <row r="15" spans="1:9" ht="15.75" thickBot="1"/>
    <row r="16" spans="1:9" ht="16.5" thickTop="1">
      <c r="A16" s="61" t="s">
        <v>39</v>
      </c>
      <c r="B16" s="64" t="s">
        <v>258</v>
      </c>
      <c r="C16" s="65" t="s">
        <v>265</v>
      </c>
      <c r="D16" s="64" t="s">
        <v>259</v>
      </c>
      <c r="E16" s="65" t="s">
        <v>265</v>
      </c>
      <c r="F16" s="64" t="s">
        <v>260</v>
      </c>
      <c r="G16" s="65" t="s">
        <v>265</v>
      </c>
      <c r="H16" s="65" t="s">
        <v>0</v>
      </c>
      <c r="I16" s="65" t="s">
        <v>265</v>
      </c>
    </row>
    <row r="17" spans="1:15">
      <c r="A17" s="62" t="s">
        <v>261</v>
      </c>
      <c r="B17" s="81">
        <v>1856</v>
      </c>
      <c r="C17" s="193"/>
      <c r="D17" s="81">
        <v>1997</v>
      </c>
      <c r="E17" s="193"/>
      <c r="F17" s="81">
        <v>1873</v>
      </c>
      <c r="G17" s="193"/>
      <c r="H17" s="81">
        <f>SUM(B17,D17,F17)</f>
        <v>5726</v>
      </c>
      <c r="I17" s="193"/>
      <c r="O17" s="54"/>
    </row>
    <row r="18" spans="1:15">
      <c r="A18" s="62" t="s">
        <v>262</v>
      </c>
      <c r="B18" s="63">
        <v>1867</v>
      </c>
      <c r="C18" s="193"/>
      <c r="D18" s="63">
        <v>2025</v>
      </c>
      <c r="E18" s="193"/>
      <c r="F18" s="63">
        <v>1788</v>
      </c>
      <c r="G18" s="193"/>
      <c r="H18" s="81">
        <f>SUM(B18,D18,F18)</f>
        <v>5680</v>
      </c>
      <c r="I18" s="193"/>
    </row>
    <row r="19" spans="1:15">
      <c r="A19" s="62" t="s">
        <v>263</v>
      </c>
      <c r="B19" s="63">
        <v>1831</v>
      </c>
      <c r="C19" s="193"/>
      <c r="D19" s="63">
        <v>1824</v>
      </c>
      <c r="E19" s="193"/>
      <c r="F19" s="63">
        <v>1733</v>
      </c>
      <c r="G19" s="193"/>
      <c r="H19" s="81">
        <f>SUM(B19,D19,F19)</f>
        <v>5388</v>
      </c>
      <c r="I19" s="193"/>
    </row>
    <row r="20" spans="1:15">
      <c r="A20" s="62" t="s">
        <v>264</v>
      </c>
      <c r="B20" s="63">
        <v>1654</v>
      </c>
      <c r="C20" s="193"/>
      <c r="D20" s="63">
        <v>1995</v>
      </c>
      <c r="E20" s="193"/>
      <c r="F20" s="63">
        <v>1797</v>
      </c>
      <c r="G20" s="193"/>
      <c r="H20" s="81">
        <f>SUM(B20,D20,F20)</f>
        <v>5446</v>
      </c>
      <c r="I20" s="193"/>
    </row>
    <row r="21" spans="1:15" ht="15.75" thickBot="1">
      <c r="A21" s="66" t="s">
        <v>0</v>
      </c>
      <c r="B21" s="82">
        <f>SUM(B17:B20)</f>
        <v>7208</v>
      </c>
      <c r="C21" s="193"/>
      <c r="D21" s="82">
        <f t="shared" ref="D21:H21" si="0">SUM(D17:D20)</f>
        <v>7841</v>
      </c>
      <c r="E21" s="193"/>
      <c r="F21" s="82">
        <f t="shared" si="0"/>
        <v>7191</v>
      </c>
      <c r="G21" s="193"/>
      <c r="H21" s="82">
        <f t="shared" si="0"/>
        <v>22240</v>
      </c>
      <c r="I21" s="193"/>
    </row>
    <row r="22" spans="1:15" ht="15.75" thickTop="1"/>
  </sheetData>
  <dataConsolidate/>
  <customSheetViews>
    <customSheetView guid="{32169818-EA48-4D2C-804F-10AFEFD0B9B2}" showGridLines="0">
      <pageMargins left="0.7" right="0.7" top="0.75" bottom="0.75" header="0.3" footer="0.3"/>
      <pageSetup orientation="portrait" horizontalDpi="200" verticalDpi="200" r:id="rId1"/>
    </customSheetView>
  </customSheetViews>
  <mergeCells count="1">
    <mergeCell ref="A2:B2"/>
  </mergeCells>
  <phoneticPr fontId="0" type="noConversion"/>
  <pageMargins left="0.7" right="0.7" top="0.75" bottom="0.75" header="0.3" footer="0.3"/>
  <pageSetup orientation="portrait" horizontalDpi="200" verticalDpi="200" r:id="rId2"/>
  <ignoredErrors>
    <ignoredError sqref="H17 H18:H21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W112"/>
  <sheetViews>
    <sheetView showGridLines="0" zoomScale="115" zoomScaleNormal="115" workbookViewId="0">
      <selection activeCell="D10" sqref="D10"/>
    </sheetView>
  </sheetViews>
  <sheetFormatPr defaultColWidth="9.28515625" defaultRowHeight="12.75"/>
  <cols>
    <col min="1" max="1" width="3.28515625" style="1" customWidth="1"/>
    <col min="2" max="2" width="12" style="1" customWidth="1"/>
    <col min="3" max="3" width="12.28515625" style="1" customWidth="1"/>
    <col min="4" max="4" width="12.42578125" style="1" customWidth="1"/>
    <col min="5" max="5" width="8.42578125" style="1" customWidth="1"/>
    <col min="6" max="6" width="8.7109375" style="1" customWidth="1"/>
    <col min="7" max="7" width="11" style="1" customWidth="1"/>
    <col min="8" max="8" width="11.28515625" style="1" customWidth="1"/>
    <col min="9" max="9" width="10.7109375" style="1" customWidth="1"/>
    <col min="10" max="22" width="9.28515625" style="1"/>
    <col min="23" max="23" width="13.28515625" style="1" customWidth="1"/>
    <col min="24" max="16384" width="9.28515625" style="1"/>
  </cols>
  <sheetData>
    <row r="1" spans="2:23" ht="52.5" customHeight="1" thickBot="1"/>
    <row r="2" spans="2:23" ht="15" thickBot="1">
      <c r="B2" s="93" t="s">
        <v>43</v>
      </c>
      <c r="C2" s="94" t="s">
        <v>44</v>
      </c>
      <c r="D2" s="94" t="s">
        <v>45</v>
      </c>
      <c r="E2" s="94" t="s">
        <v>46</v>
      </c>
      <c r="F2" s="94" t="s">
        <v>47</v>
      </c>
      <c r="G2" s="94" t="s">
        <v>48</v>
      </c>
      <c r="H2" s="94" t="s">
        <v>49</v>
      </c>
      <c r="I2" s="94" t="s">
        <v>50</v>
      </c>
      <c r="J2" s="95" t="s">
        <v>279</v>
      </c>
    </row>
    <row r="3" spans="2:23">
      <c r="B3" s="96">
        <v>1</v>
      </c>
      <c r="C3" s="34" t="s">
        <v>53</v>
      </c>
      <c r="D3" s="34" t="s">
        <v>54</v>
      </c>
      <c r="E3" s="34" t="s">
        <v>51</v>
      </c>
      <c r="F3" s="34" t="s">
        <v>55</v>
      </c>
      <c r="G3" s="35">
        <v>70</v>
      </c>
      <c r="H3" s="36">
        <v>30376</v>
      </c>
      <c r="I3" s="37">
        <v>9000</v>
      </c>
      <c r="J3" s="97">
        <v>4140</v>
      </c>
      <c r="K3" s="26"/>
    </row>
    <row r="4" spans="2:23">
      <c r="B4" s="96">
        <v>2</v>
      </c>
      <c r="C4" s="34" t="s">
        <v>56</v>
      </c>
      <c r="D4" s="34" t="s">
        <v>57</v>
      </c>
      <c r="E4" s="34" t="s">
        <v>58</v>
      </c>
      <c r="F4" s="34" t="s">
        <v>59</v>
      </c>
      <c r="G4" s="35">
        <v>60</v>
      </c>
      <c r="H4" s="36">
        <v>32435</v>
      </c>
      <c r="I4" s="37">
        <v>8100</v>
      </c>
      <c r="J4" s="97">
        <v>1985</v>
      </c>
    </row>
    <row r="5" spans="2:23">
      <c r="B5" s="96">
        <v>3</v>
      </c>
      <c r="C5" s="34" t="s">
        <v>60</v>
      </c>
      <c r="D5" s="34" t="s">
        <v>61</v>
      </c>
      <c r="E5" s="34" t="s">
        <v>51</v>
      </c>
      <c r="F5" s="34" t="s">
        <v>59</v>
      </c>
      <c r="G5" s="35">
        <v>70</v>
      </c>
      <c r="H5" s="36">
        <v>30376</v>
      </c>
      <c r="I5" s="37">
        <v>9000</v>
      </c>
      <c r="J5" s="97">
        <v>2290</v>
      </c>
    </row>
    <row r="6" spans="2:23">
      <c r="B6" s="96">
        <v>4</v>
      </c>
      <c r="C6" s="34" t="s">
        <v>62</v>
      </c>
      <c r="D6" s="34" t="s">
        <v>63</v>
      </c>
      <c r="E6" s="34" t="s">
        <v>64</v>
      </c>
      <c r="F6" s="34" t="s">
        <v>59</v>
      </c>
      <c r="G6" s="35">
        <v>20</v>
      </c>
      <c r="H6" s="36">
        <v>28326</v>
      </c>
      <c r="I6" s="37">
        <v>9000</v>
      </c>
      <c r="J6" s="97">
        <v>3660</v>
      </c>
    </row>
    <row r="7" spans="2:23">
      <c r="B7" s="96">
        <v>5</v>
      </c>
      <c r="C7" s="34" t="s">
        <v>65</v>
      </c>
      <c r="D7" s="34" t="s">
        <v>66</v>
      </c>
      <c r="E7" s="34" t="s">
        <v>52</v>
      </c>
      <c r="F7" s="34" t="s">
        <v>59</v>
      </c>
      <c r="G7" s="35">
        <v>50</v>
      </c>
      <c r="H7" s="36">
        <v>30225</v>
      </c>
      <c r="I7" s="37">
        <v>9000</v>
      </c>
      <c r="J7" s="97">
        <v>4595</v>
      </c>
    </row>
    <row r="8" spans="2:23">
      <c r="B8" s="96">
        <v>6</v>
      </c>
      <c r="C8" s="34" t="s">
        <v>67</v>
      </c>
      <c r="D8" s="34" t="s">
        <v>68</v>
      </c>
      <c r="E8" s="34" t="s">
        <v>51</v>
      </c>
      <c r="F8" s="34" t="s">
        <v>59</v>
      </c>
      <c r="G8" s="35">
        <v>70</v>
      </c>
      <c r="H8" s="36">
        <v>32106</v>
      </c>
      <c r="I8" s="37">
        <v>11000</v>
      </c>
      <c r="J8" s="97">
        <v>3910</v>
      </c>
    </row>
    <row r="9" spans="2:23" ht="15">
      <c r="B9" s="96">
        <v>7</v>
      </c>
      <c r="C9" s="34" t="s">
        <v>69</v>
      </c>
      <c r="D9" s="34" t="s">
        <v>66</v>
      </c>
      <c r="E9" s="34" t="s">
        <v>64</v>
      </c>
      <c r="F9" s="34" t="s">
        <v>59</v>
      </c>
      <c r="G9" s="35">
        <v>20</v>
      </c>
      <c r="H9" s="36">
        <v>33729</v>
      </c>
      <c r="I9" s="37">
        <v>5300</v>
      </c>
      <c r="J9" s="97">
        <v>3975</v>
      </c>
      <c r="K9" s="32"/>
      <c r="S9" s="32"/>
      <c r="T9" s="32"/>
      <c r="U9" s="32"/>
      <c r="V9" s="32"/>
      <c r="W9" s="32"/>
    </row>
    <row r="10" spans="2:23">
      <c r="B10" s="96">
        <v>8</v>
      </c>
      <c r="C10" s="34" t="s">
        <v>70</v>
      </c>
      <c r="D10" s="34" t="s">
        <v>61</v>
      </c>
      <c r="E10" s="34" t="s">
        <v>71</v>
      </c>
      <c r="F10" s="34" t="s">
        <v>59</v>
      </c>
      <c r="G10" s="35">
        <v>10</v>
      </c>
      <c r="H10" s="36">
        <v>32107</v>
      </c>
      <c r="I10" s="37">
        <v>11000</v>
      </c>
      <c r="J10" s="97">
        <v>895</v>
      </c>
      <c r="S10" s="39"/>
      <c r="T10" s="39"/>
      <c r="U10" s="39"/>
      <c r="W10" s="40"/>
    </row>
    <row r="11" spans="2:23">
      <c r="B11" s="96">
        <v>9</v>
      </c>
      <c r="C11" s="34" t="s">
        <v>72</v>
      </c>
      <c r="D11" s="34" t="s">
        <v>73</v>
      </c>
      <c r="E11" s="34" t="s">
        <v>64</v>
      </c>
      <c r="F11" s="34" t="s">
        <v>55</v>
      </c>
      <c r="G11" s="35">
        <v>20</v>
      </c>
      <c r="H11" s="36">
        <v>29183</v>
      </c>
      <c r="I11" s="37">
        <v>7000</v>
      </c>
      <c r="J11" s="97">
        <v>605</v>
      </c>
      <c r="S11" s="39"/>
      <c r="T11" s="39"/>
      <c r="U11" s="39"/>
      <c r="W11" s="40"/>
    </row>
    <row r="12" spans="2:23">
      <c r="B12" s="96">
        <v>10</v>
      </c>
      <c r="C12" s="34" t="s">
        <v>72</v>
      </c>
      <c r="D12" s="34" t="s">
        <v>74</v>
      </c>
      <c r="E12" s="34" t="s">
        <v>75</v>
      </c>
      <c r="F12" s="34" t="s">
        <v>76</v>
      </c>
      <c r="G12" s="35">
        <v>30</v>
      </c>
      <c r="H12" s="36">
        <v>32607</v>
      </c>
      <c r="I12" s="37">
        <v>9900</v>
      </c>
      <c r="J12" s="97">
        <v>500</v>
      </c>
      <c r="S12" s="39"/>
      <c r="T12" s="39"/>
      <c r="U12" s="39"/>
      <c r="W12" s="40"/>
    </row>
    <row r="13" spans="2:23">
      <c r="B13" s="96">
        <v>11</v>
      </c>
      <c r="C13" s="34" t="s">
        <v>77</v>
      </c>
      <c r="D13" s="34" t="s">
        <v>78</v>
      </c>
      <c r="E13" s="34" t="s">
        <v>71</v>
      </c>
      <c r="F13" s="34" t="s">
        <v>79</v>
      </c>
      <c r="G13" s="35">
        <v>10</v>
      </c>
      <c r="H13" s="36">
        <v>30225</v>
      </c>
      <c r="I13" s="37">
        <v>11000</v>
      </c>
      <c r="J13" s="97">
        <v>2430</v>
      </c>
      <c r="S13" s="39"/>
      <c r="T13" s="39"/>
      <c r="U13" s="39"/>
      <c r="W13" s="40"/>
    </row>
    <row r="14" spans="2:23">
      <c r="B14" s="96">
        <v>12</v>
      </c>
      <c r="C14" s="34" t="s">
        <v>80</v>
      </c>
      <c r="D14" s="34" t="s">
        <v>81</v>
      </c>
      <c r="E14" s="34" t="s">
        <v>52</v>
      </c>
      <c r="F14" s="34" t="s">
        <v>59</v>
      </c>
      <c r="G14" s="35">
        <v>50</v>
      </c>
      <c r="H14" s="36">
        <v>32609</v>
      </c>
      <c r="I14" s="37">
        <v>9900</v>
      </c>
      <c r="J14" s="97">
        <v>1125</v>
      </c>
      <c r="S14" s="39"/>
      <c r="T14" s="39"/>
      <c r="U14" s="39"/>
      <c r="W14" s="40"/>
    </row>
    <row r="15" spans="2:23">
      <c r="B15" s="96">
        <v>13</v>
      </c>
      <c r="C15" s="34" t="s">
        <v>82</v>
      </c>
      <c r="D15" s="34" t="s">
        <v>83</v>
      </c>
      <c r="E15" s="34" t="s">
        <v>84</v>
      </c>
      <c r="F15" s="34" t="s">
        <v>79</v>
      </c>
      <c r="G15" s="35">
        <v>40</v>
      </c>
      <c r="H15" s="36">
        <v>30225</v>
      </c>
      <c r="I15" s="37">
        <v>14000</v>
      </c>
      <c r="J15" s="97">
        <v>3080</v>
      </c>
      <c r="S15" s="39"/>
      <c r="T15" s="39"/>
      <c r="U15" s="39"/>
      <c r="W15" s="40"/>
    </row>
    <row r="16" spans="2:23">
      <c r="B16" s="96">
        <v>14</v>
      </c>
      <c r="C16" s="34" t="s">
        <v>85</v>
      </c>
      <c r="D16" s="34" t="s">
        <v>86</v>
      </c>
      <c r="E16" s="34" t="s">
        <v>64</v>
      </c>
      <c r="F16" s="34" t="s">
        <v>59</v>
      </c>
      <c r="G16" s="35">
        <v>20</v>
      </c>
      <c r="H16" s="36">
        <v>32446</v>
      </c>
      <c r="I16" s="37">
        <v>10000</v>
      </c>
      <c r="J16" s="97">
        <v>1290</v>
      </c>
      <c r="S16" s="39"/>
      <c r="T16" s="39"/>
      <c r="U16" s="39"/>
      <c r="W16" s="40"/>
    </row>
    <row r="17" spans="2:23">
      <c r="B17" s="96">
        <v>15</v>
      </c>
      <c r="C17" s="34" t="s">
        <v>87</v>
      </c>
      <c r="D17" s="34" t="s">
        <v>88</v>
      </c>
      <c r="E17" s="34" t="s">
        <v>71</v>
      </c>
      <c r="F17" s="34" t="s">
        <v>76</v>
      </c>
      <c r="G17" s="35">
        <v>10</v>
      </c>
      <c r="H17" s="36">
        <v>32444</v>
      </c>
      <c r="I17" s="37">
        <v>10000</v>
      </c>
      <c r="J17" s="97">
        <v>1070</v>
      </c>
      <c r="Q17" s="26"/>
      <c r="R17" s="38"/>
      <c r="S17" s="39"/>
      <c r="T17" s="39"/>
      <c r="U17" s="39"/>
      <c r="W17" s="40"/>
    </row>
    <row r="18" spans="2:23">
      <c r="B18" s="96">
        <v>16</v>
      </c>
      <c r="C18" s="34" t="s">
        <v>89</v>
      </c>
      <c r="D18" s="34" t="s">
        <v>90</v>
      </c>
      <c r="E18" s="34" t="s">
        <v>58</v>
      </c>
      <c r="F18" s="34" t="s">
        <v>55</v>
      </c>
      <c r="G18" s="35">
        <v>60</v>
      </c>
      <c r="H18" s="36">
        <v>33102</v>
      </c>
      <c r="I18" s="37">
        <v>7900</v>
      </c>
      <c r="J18" s="97">
        <v>2340</v>
      </c>
      <c r="Q18" s="26"/>
      <c r="R18" s="38"/>
      <c r="S18" s="39"/>
      <c r="T18" s="39"/>
      <c r="U18" s="39"/>
      <c r="W18" s="40"/>
    </row>
    <row r="19" spans="2:23">
      <c r="B19" s="96">
        <v>17</v>
      </c>
      <c r="C19" s="34" t="s">
        <v>91</v>
      </c>
      <c r="D19" s="34" t="s">
        <v>92</v>
      </c>
      <c r="E19" s="34" t="s">
        <v>51</v>
      </c>
      <c r="F19" s="34" t="s">
        <v>79</v>
      </c>
      <c r="G19" s="35">
        <v>70</v>
      </c>
      <c r="H19" s="36">
        <v>31791</v>
      </c>
      <c r="I19" s="37">
        <v>11000</v>
      </c>
      <c r="J19" s="97">
        <v>3735</v>
      </c>
      <c r="Q19" s="26"/>
      <c r="R19" s="38"/>
      <c r="S19" s="39"/>
      <c r="T19" s="39"/>
      <c r="U19" s="39"/>
      <c r="W19" s="40"/>
    </row>
    <row r="20" spans="2:23">
      <c r="B20" s="96">
        <v>18</v>
      </c>
      <c r="C20" s="34" t="s">
        <v>93</v>
      </c>
      <c r="D20" s="34" t="s">
        <v>94</v>
      </c>
      <c r="E20" s="34" t="s">
        <v>75</v>
      </c>
      <c r="F20" s="34" t="s">
        <v>59</v>
      </c>
      <c r="G20" s="35">
        <v>30</v>
      </c>
      <c r="H20" s="36">
        <v>32443</v>
      </c>
      <c r="I20" s="37">
        <v>10000</v>
      </c>
      <c r="J20" s="97">
        <v>2390</v>
      </c>
      <c r="Q20" s="26"/>
      <c r="R20" s="38"/>
      <c r="S20" s="39"/>
      <c r="U20" s="39"/>
      <c r="W20" s="40"/>
    </row>
    <row r="21" spans="2:23">
      <c r="B21" s="96">
        <v>19</v>
      </c>
      <c r="C21" s="34" t="s">
        <v>95</v>
      </c>
      <c r="D21" s="34" t="s">
        <v>96</v>
      </c>
      <c r="E21" s="34" t="s">
        <v>64</v>
      </c>
      <c r="F21" s="34" t="s">
        <v>59</v>
      </c>
      <c r="G21" s="35">
        <v>20</v>
      </c>
      <c r="H21" s="36">
        <v>36316</v>
      </c>
      <c r="I21" s="37">
        <v>3400</v>
      </c>
      <c r="J21" s="97">
        <v>4100</v>
      </c>
      <c r="Q21" s="26"/>
      <c r="R21" s="38"/>
      <c r="S21" s="39"/>
      <c r="T21" s="39"/>
      <c r="U21" s="39"/>
      <c r="W21" s="40"/>
    </row>
    <row r="22" spans="2:23">
      <c r="B22" s="96">
        <v>20</v>
      </c>
      <c r="C22" s="34" t="s">
        <v>97</v>
      </c>
      <c r="D22" s="34" t="s">
        <v>98</v>
      </c>
      <c r="E22" s="34" t="s">
        <v>64</v>
      </c>
      <c r="F22" s="34" t="s">
        <v>79</v>
      </c>
      <c r="G22" s="35">
        <v>20</v>
      </c>
      <c r="H22" s="36">
        <v>32105</v>
      </c>
      <c r="I22" s="37">
        <v>11000</v>
      </c>
      <c r="J22" s="97">
        <v>385</v>
      </c>
      <c r="Q22" s="26"/>
      <c r="R22" s="38"/>
      <c r="S22" s="39"/>
      <c r="T22" s="39"/>
      <c r="U22" s="39"/>
      <c r="W22" s="40"/>
    </row>
    <row r="23" spans="2:23">
      <c r="B23" s="96">
        <v>21</v>
      </c>
      <c r="C23" s="34" t="s">
        <v>99</v>
      </c>
      <c r="D23" s="34" t="s">
        <v>100</v>
      </c>
      <c r="E23" s="34" t="s">
        <v>75</v>
      </c>
      <c r="F23" s="34" t="s">
        <v>55</v>
      </c>
      <c r="G23" s="35">
        <v>30</v>
      </c>
      <c r="H23" s="36">
        <v>30225</v>
      </c>
      <c r="I23" s="37">
        <v>9000</v>
      </c>
      <c r="J23" s="97">
        <v>90</v>
      </c>
      <c r="Q23" s="26"/>
      <c r="R23" s="38"/>
      <c r="S23" s="39"/>
      <c r="T23" s="39"/>
      <c r="U23" s="39"/>
      <c r="W23" s="40"/>
    </row>
    <row r="24" spans="2:23">
      <c r="B24" s="96">
        <v>22</v>
      </c>
      <c r="C24" s="34" t="s">
        <v>101</v>
      </c>
      <c r="D24" s="34" t="s">
        <v>102</v>
      </c>
      <c r="E24" s="34" t="s">
        <v>51</v>
      </c>
      <c r="F24" s="34" t="s">
        <v>76</v>
      </c>
      <c r="G24" s="35">
        <v>70</v>
      </c>
      <c r="H24" s="36">
        <v>35189</v>
      </c>
      <c r="I24" s="37">
        <v>5500</v>
      </c>
      <c r="J24" s="97">
        <v>3710</v>
      </c>
      <c r="Q24" s="26"/>
      <c r="R24" s="38"/>
      <c r="S24" s="39"/>
      <c r="T24" s="39"/>
      <c r="U24" s="39"/>
      <c r="W24" s="40"/>
    </row>
    <row r="25" spans="2:23">
      <c r="B25" s="96">
        <v>23</v>
      </c>
      <c r="C25" s="34" t="s">
        <v>103</v>
      </c>
      <c r="D25" s="34" t="s">
        <v>61</v>
      </c>
      <c r="E25" s="34" t="s">
        <v>71</v>
      </c>
      <c r="F25" s="34" t="s">
        <v>79</v>
      </c>
      <c r="G25" s="35">
        <v>10</v>
      </c>
      <c r="H25" s="36">
        <v>32604</v>
      </c>
      <c r="I25" s="37">
        <v>9900</v>
      </c>
      <c r="J25" s="97">
        <v>1100</v>
      </c>
      <c r="Q25" s="26"/>
      <c r="R25" s="38"/>
      <c r="S25" s="39"/>
      <c r="T25" s="39"/>
      <c r="U25" s="39"/>
      <c r="W25" s="40"/>
    </row>
    <row r="26" spans="2:23">
      <c r="B26" s="96">
        <v>24</v>
      </c>
      <c r="C26" s="34" t="s">
        <v>104</v>
      </c>
      <c r="D26" s="34" t="s">
        <v>105</v>
      </c>
      <c r="E26" s="34" t="s">
        <v>52</v>
      </c>
      <c r="F26" s="34" t="s">
        <v>59</v>
      </c>
      <c r="G26" s="35">
        <v>50</v>
      </c>
      <c r="H26" s="36">
        <v>32437</v>
      </c>
      <c r="I26" s="37">
        <v>11000</v>
      </c>
      <c r="J26" s="97">
        <v>4135</v>
      </c>
      <c r="Q26" s="26"/>
      <c r="R26" s="38"/>
      <c r="S26" s="39"/>
      <c r="T26" s="39"/>
      <c r="U26" s="39"/>
      <c r="W26" s="40"/>
    </row>
    <row r="27" spans="2:23">
      <c r="B27" s="96">
        <v>25</v>
      </c>
      <c r="C27" s="34" t="s">
        <v>106</v>
      </c>
      <c r="D27" s="34" t="s">
        <v>94</v>
      </c>
      <c r="E27" s="34" t="s">
        <v>84</v>
      </c>
      <c r="F27" s="34" t="s">
        <v>76</v>
      </c>
      <c r="G27" s="35">
        <v>40</v>
      </c>
      <c r="H27" s="36">
        <v>35794</v>
      </c>
      <c r="I27" s="37">
        <v>6000</v>
      </c>
      <c r="J27" s="97">
        <v>370</v>
      </c>
      <c r="Q27" s="26"/>
      <c r="R27" s="38"/>
      <c r="S27" s="39"/>
      <c r="T27" s="39"/>
      <c r="U27" s="39"/>
      <c r="W27" s="40"/>
    </row>
    <row r="28" spans="2:23">
      <c r="B28" s="96">
        <v>26</v>
      </c>
      <c r="C28" s="34" t="s">
        <v>107</v>
      </c>
      <c r="D28" s="34" t="s">
        <v>108</v>
      </c>
      <c r="E28" s="34" t="s">
        <v>75</v>
      </c>
      <c r="F28" s="34" t="s">
        <v>76</v>
      </c>
      <c r="G28" s="35">
        <v>30</v>
      </c>
      <c r="H28" s="36">
        <v>36274</v>
      </c>
      <c r="I28" s="37">
        <v>4500</v>
      </c>
      <c r="J28" s="97">
        <v>380</v>
      </c>
      <c r="Q28" s="26"/>
      <c r="R28" s="38"/>
      <c r="S28" s="39"/>
      <c r="T28" s="39"/>
      <c r="U28" s="39"/>
      <c r="W28" s="40"/>
    </row>
    <row r="29" spans="2:23">
      <c r="B29" s="96">
        <v>27</v>
      </c>
      <c r="C29" s="34" t="s">
        <v>109</v>
      </c>
      <c r="D29" s="34" t="s">
        <v>110</v>
      </c>
      <c r="E29" s="34" t="s">
        <v>71</v>
      </c>
      <c r="F29" s="34" t="s">
        <v>59</v>
      </c>
      <c r="G29" s="35">
        <v>10</v>
      </c>
      <c r="H29" s="36">
        <v>33510</v>
      </c>
      <c r="I29" s="37">
        <v>9000</v>
      </c>
      <c r="J29" s="97">
        <v>1725</v>
      </c>
      <c r="Q29" s="26"/>
      <c r="R29" s="38"/>
      <c r="S29" s="39"/>
      <c r="T29" s="39"/>
      <c r="U29" s="39"/>
      <c r="W29" s="40"/>
    </row>
    <row r="30" spans="2:23">
      <c r="B30" s="96">
        <v>28</v>
      </c>
      <c r="C30" s="34" t="s">
        <v>111</v>
      </c>
      <c r="D30" s="34" t="s">
        <v>112</v>
      </c>
      <c r="E30" s="34" t="s">
        <v>64</v>
      </c>
      <c r="F30" s="34" t="s">
        <v>79</v>
      </c>
      <c r="G30" s="35">
        <v>20</v>
      </c>
      <c r="H30" s="36">
        <v>35811</v>
      </c>
      <c r="I30" s="37">
        <v>10000</v>
      </c>
      <c r="J30" s="97">
        <v>4245</v>
      </c>
      <c r="Q30" s="26"/>
      <c r="R30" s="38"/>
      <c r="S30" s="39"/>
      <c r="T30" s="39"/>
      <c r="U30" s="39"/>
      <c r="W30" s="40"/>
    </row>
    <row r="31" spans="2:23">
      <c r="B31" s="96">
        <v>29</v>
      </c>
      <c r="C31" s="34" t="s">
        <v>113</v>
      </c>
      <c r="D31" s="34" t="s">
        <v>114</v>
      </c>
      <c r="E31" s="34" t="s">
        <v>75</v>
      </c>
      <c r="F31" s="34" t="s">
        <v>76</v>
      </c>
      <c r="G31" s="35">
        <v>30</v>
      </c>
      <c r="H31" s="36">
        <v>32390</v>
      </c>
      <c r="I31" s="37">
        <v>7100</v>
      </c>
      <c r="J31" s="97">
        <v>2820</v>
      </c>
      <c r="Q31" s="26"/>
      <c r="R31" s="38"/>
      <c r="S31" s="39"/>
      <c r="T31" s="39"/>
      <c r="U31" s="39"/>
      <c r="W31" s="40"/>
    </row>
    <row r="32" spans="2:23">
      <c r="B32" s="96">
        <v>30</v>
      </c>
      <c r="C32" s="34" t="s">
        <v>115</v>
      </c>
      <c r="D32" s="34" t="s">
        <v>116</v>
      </c>
      <c r="E32" s="34" t="s">
        <v>58</v>
      </c>
      <c r="F32" s="34" t="s">
        <v>79</v>
      </c>
      <c r="G32" s="35">
        <v>60</v>
      </c>
      <c r="H32" s="36">
        <v>31029</v>
      </c>
      <c r="I32" s="37">
        <v>8500</v>
      </c>
      <c r="J32" s="97">
        <v>2830</v>
      </c>
      <c r="Q32" s="26"/>
      <c r="R32" s="38"/>
      <c r="S32" s="39"/>
      <c r="T32" s="39"/>
      <c r="U32" s="39"/>
      <c r="W32" s="40"/>
    </row>
    <row r="33" spans="2:23">
      <c r="B33" s="96">
        <v>31</v>
      </c>
      <c r="C33" s="34" t="s">
        <v>117</v>
      </c>
      <c r="D33" s="34" t="s">
        <v>118</v>
      </c>
      <c r="E33" s="34" t="s">
        <v>64</v>
      </c>
      <c r="F33" s="34" t="s">
        <v>79</v>
      </c>
      <c r="G33" s="35">
        <v>20</v>
      </c>
      <c r="H33" s="36">
        <v>32606</v>
      </c>
      <c r="I33" s="37">
        <v>9900</v>
      </c>
      <c r="J33" s="97">
        <v>3825</v>
      </c>
      <c r="Q33" s="26"/>
      <c r="R33" s="38"/>
      <c r="S33" s="39"/>
      <c r="T33" s="39"/>
      <c r="U33" s="39"/>
      <c r="W33" s="40"/>
    </row>
    <row r="34" spans="2:23">
      <c r="B34" s="96">
        <v>32</v>
      </c>
      <c r="C34" s="34" t="s">
        <v>119</v>
      </c>
      <c r="D34" s="34" t="s">
        <v>120</v>
      </c>
      <c r="E34" s="34" t="s">
        <v>71</v>
      </c>
      <c r="F34" s="34" t="s">
        <v>76</v>
      </c>
      <c r="G34" s="35">
        <v>10</v>
      </c>
      <c r="H34" s="36">
        <v>33878</v>
      </c>
      <c r="I34" s="37">
        <v>8500</v>
      </c>
      <c r="J34" s="97">
        <v>4055</v>
      </c>
      <c r="Q34" s="26"/>
      <c r="R34" s="38"/>
      <c r="S34" s="39"/>
      <c r="T34" s="39"/>
      <c r="U34" s="39"/>
      <c r="W34" s="40"/>
    </row>
    <row r="35" spans="2:23">
      <c r="B35" s="96">
        <v>33</v>
      </c>
      <c r="C35" s="34" t="s">
        <v>121</v>
      </c>
      <c r="D35" s="34" t="s">
        <v>122</v>
      </c>
      <c r="E35" s="34" t="s">
        <v>75</v>
      </c>
      <c r="F35" s="34" t="s">
        <v>55</v>
      </c>
      <c r="G35" s="35">
        <v>30</v>
      </c>
      <c r="H35" s="36">
        <v>32448</v>
      </c>
      <c r="I35" s="37">
        <v>10000</v>
      </c>
      <c r="J35" s="97">
        <v>2835</v>
      </c>
      <c r="Q35" s="26"/>
      <c r="R35" s="38"/>
      <c r="S35" s="39"/>
      <c r="T35" s="39"/>
      <c r="U35" s="39"/>
      <c r="W35" s="40"/>
    </row>
    <row r="36" spans="2:23">
      <c r="B36" s="96">
        <v>34</v>
      </c>
      <c r="C36" s="34" t="s">
        <v>123</v>
      </c>
      <c r="D36" s="34" t="s">
        <v>124</v>
      </c>
      <c r="E36" s="34" t="s">
        <v>71</v>
      </c>
      <c r="F36" s="34" t="s">
        <v>79</v>
      </c>
      <c r="G36" s="35">
        <v>10</v>
      </c>
      <c r="H36" s="36">
        <v>34098</v>
      </c>
      <c r="I36" s="37">
        <v>8500</v>
      </c>
      <c r="J36" s="97">
        <v>4390</v>
      </c>
      <c r="Q36" s="26"/>
      <c r="R36" s="38"/>
      <c r="S36" s="39"/>
      <c r="T36" s="39"/>
      <c r="U36" s="39"/>
      <c r="W36" s="40"/>
    </row>
    <row r="37" spans="2:23">
      <c r="B37" s="96">
        <v>35</v>
      </c>
      <c r="C37" s="34" t="s">
        <v>125</v>
      </c>
      <c r="D37" s="34" t="s">
        <v>126</v>
      </c>
      <c r="E37" s="34" t="s">
        <v>75</v>
      </c>
      <c r="F37" s="34" t="s">
        <v>59</v>
      </c>
      <c r="G37" s="35">
        <v>30</v>
      </c>
      <c r="H37" s="36">
        <v>35618</v>
      </c>
      <c r="I37" s="37">
        <v>6500</v>
      </c>
      <c r="J37" s="97">
        <v>4735</v>
      </c>
      <c r="Q37" s="26"/>
      <c r="R37" s="38"/>
      <c r="S37" s="39"/>
      <c r="T37" s="39"/>
      <c r="U37" s="39"/>
      <c r="W37" s="40"/>
    </row>
    <row r="38" spans="2:23">
      <c r="B38" s="96">
        <v>36</v>
      </c>
      <c r="C38" s="34" t="s">
        <v>127</v>
      </c>
      <c r="D38" s="34" t="s">
        <v>128</v>
      </c>
      <c r="E38" s="34" t="s">
        <v>51</v>
      </c>
      <c r="F38" s="34" t="s">
        <v>79</v>
      </c>
      <c r="G38" s="35">
        <v>70</v>
      </c>
      <c r="H38" s="36">
        <v>35595</v>
      </c>
      <c r="I38" s="37">
        <v>4500</v>
      </c>
      <c r="J38" s="97">
        <v>295</v>
      </c>
      <c r="Q38" s="26"/>
      <c r="R38" s="38"/>
      <c r="S38" s="39"/>
      <c r="T38" s="39"/>
      <c r="U38" s="39"/>
      <c r="W38" s="40"/>
    </row>
    <row r="39" spans="2:23">
      <c r="B39" s="96">
        <v>37</v>
      </c>
      <c r="C39" s="34" t="s">
        <v>129</v>
      </c>
      <c r="D39" s="34" t="s">
        <v>74</v>
      </c>
      <c r="E39" s="34" t="s">
        <v>51</v>
      </c>
      <c r="F39" s="34" t="s">
        <v>59</v>
      </c>
      <c r="G39" s="35">
        <v>70</v>
      </c>
      <c r="H39" s="36">
        <v>36220</v>
      </c>
      <c r="I39" s="37">
        <v>4000</v>
      </c>
      <c r="J39" s="97">
        <v>2465</v>
      </c>
      <c r="Q39" s="26"/>
      <c r="R39" s="38"/>
      <c r="S39" s="39"/>
      <c r="T39" s="39"/>
      <c r="U39" s="39"/>
      <c r="W39" s="40"/>
    </row>
    <row r="40" spans="2:23">
      <c r="B40" s="96">
        <v>38</v>
      </c>
      <c r="C40" s="34" t="s">
        <v>130</v>
      </c>
      <c r="D40" s="34" t="s">
        <v>94</v>
      </c>
      <c r="E40" s="34" t="s">
        <v>52</v>
      </c>
      <c r="F40" s="34" t="s">
        <v>59</v>
      </c>
      <c r="G40" s="35">
        <v>50</v>
      </c>
      <c r="H40" s="36">
        <v>36221</v>
      </c>
      <c r="I40" s="37">
        <v>4000</v>
      </c>
      <c r="J40" s="97">
        <v>2960</v>
      </c>
      <c r="Q40" s="26"/>
      <c r="R40" s="38"/>
      <c r="S40" s="39"/>
      <c r="T40" s="39"/>
      <c r="U40" s="39"/>
      <c r="W40" s="40"/>
    </row>
    <row r="41" spans="2:23">
      <c r="B41" s="96">
        <v>39</v>
      </c>
      <c r="C41" s="34" t="s">
        <v>131</v>
      </c>
      <c r="D41" s="34" t="s">
        <v>132</v>
      </c>
      <c r="E41" s="34" t="s">
        <v>52</v>
      </c>
      <c r="F41" s="34" t="s">
        <v>55</v>
      </c>
      <c r="G41" s="35">
        <v>50</v>
      </c>
      <c r="H41" s="36">
        <v>31717</v>
      </c>
      <c r="I41" s="37">
        <v>9000</v>
      </c>
      <c r="J41" s="97">
        <v>3780</v>
      </c>
      <c r="Q41" s="26"/>
      <c r="R41" s="38"/>
      <c r="S41" s="39"/>
      <c r="U41" s="39"/>
      <c r="W41" s="40"/>
    </row>
    <row r="42" spans="2:23">
      <c r="B42" s="96">
        <v>40</v>
      </c>
      <c r="C42" s="34" t="s">
        <v>133</v>
      </c>
      <c r="D42" s="34" t="s">
        <v>134</v>
      </c>
      <c r="E42" s="34" t="s">
        <v>52</v>
      </c>
      <c r="F42" s="34" t="s">
        <v>59</v>
      </c>
      <c r="G42" s="35">
        <v>50</v>
      </c>
      <c r="H42" s="36">
        <v>32439</v>
      </c>
      <c r="I42" s="37">
        <v>10000</v>
      </c>
      <c r="J42" s="97">
        <v>4375</v>
      </c>
      <c r="Q42" s="26"/>
      <c r="R42" s="38"/>
      <c r="S42" s="39"/>
      <c r="T42" s="39"/>
      <c r="U42" s="39"/>
      <c r="W42" s="40"/>
    </row>
    <row r="43" spans="2:23">
      <c r="B43" s="96">
        <v>41</v>
      </c>
      <c r="C43" s="34" t="s">
        <v>135</v>
      </c>
      <c r="D43" s="34" t="s">
        <v>136</v>
      </c>
      <c r="E43" s="34" t="s">
        <v>75</v>
      </c>
      <c r="F43" s="34" t="s">
        <v>79</v>
      </c>
      <c r="G43" s="35">
        <v>30</v>
      </c>
      <c r="H43" s="36">
        <v>34777</v>
      </c>
      <c r="I43" s="37">
        <v>6000</v>
      </c>
      <c r="J43" s="97">
        <v>2305</v>
      </c>
      <c r="Q43" s="26"/>
      <c r="R43" s="38"/>
      <c r="S43" s="39"/>
      <c r="T43" s="39"/>
      <c r="U43" s="39"/>
      <c r="W43" s="40"/>
    </row>
    <row r="44" spans="2:23">
      <c r="B44" s="96">
        <v>42</v>
      </c>
      <c r="C44" s="34" t="s">
        <v>137</v>
      </c>
      <c r="D44" s="34" t="s">
        <v>138</v>
      </c>
      <c r="E44" s="34" t="s">
        <v>71</v>
      </c>
      <c r="F44" s="34" t="s">
        <v>59</v>
      </c>
      <c r="G44" s="35">
        <v>10</v>
      </c>
      <c r="H44" s="36">
        <v>35034</v>
      </c>
      <c r="I44" s="37">
        <v>8000</v>
      </c>
      <c r="J44" s="97">
        <v>150</v>
      </c>
      <c r="Q44" s="26"/>
      <c r="R44" s="38"/>
      <c r="S44" s="39"/>
      <c r="T44" s="39"/>
      <c r="U44" s="39"/>
      <c r="W44" s="40"/>
    </row>
    <row r="45" spans="2:23">
      <c r="B45" s="96">
        <v>43</v>
      </c>
      <c r="C45" s="34" t="s">
        <v>139</v>
      </c>
      <c r="D45" s="34" t="s">
        <v>140</v>
      </c>
      <c r="E45" s="34" t="s">
        <v>71</v>
      </c>
      <c r="F45" s="34" t="s">
        <v>59</v>
      </c>
      <c r="G45" s="35">
        <v>10</v>
      </c>
      <c r="H45" s="36">
        <v>32436</v>
      </c>
      <c r="I45" s="37">
        <v>9000</v>
      </c>
      <c r="J45" s="97">
        <v>1525</v>
      </c>
      <c r="Q45" s="26"/>
      <c r="R45" s="38"/>
      <c r="S45" s="39"/>
      <c r="T45" s="39"/>
      <c r="U45" s="39"/>
      <c r="W45" s="40"/>
    </row>
    <row r="46" spans="2:23">
      <c r="B46" s="96">
        <v>44</v>
      </c>
      <c r="C46" s="34" t="s">
        <v>141</v>
      </c>
      <c r="D46" s="34" t="s">
        <v>142</v>
      </c>
      <c r="E46" s="34" t="s">
        <v>64</v>
      </c>
      <c r="F46" s="34" t="s">
        <v>59</v>
      </c>
      <c r="G46" s="35">
        <v>20</v>
      </c>
      <c r="H46" s="36">
        <v>33182</v>
      </c>
      <c r="I46" s="37">
        <v>10000</v>
      </c>
      <c r="J46" s="97">
        <v>2120</v>
      </c>
      <c r="Q46" s="26"/>
      <c r="R46" s="38"/>
      <c r="S46" s="39"/>
      <c r="T46" s="39"/>
      <c r="U46" s="39"/>
      <c r="W46" s="40"/>
    </row>
    <row r="47" spans="2:23">
      <c r="B47" s="96">
        <v>45</v>
      </c>
      <c r="C47" s="34" t="s">
        <v>143</v>
      </c>
      <c r="D47" s="34" t="s">
        <v>144</v>
      </c>
      <c r="E47" s="34" t="s">
        <v>84</v>
      </c>
      <c r="F47" s="34" t="s">
        <v>59</v>
      </c>
      <c r="G47" s="35">
        <v>40</v>
      </c>
      <c r="H47" s="36">
        <v>31027</v>
      </c>
      <c r="I47" s="37">
        <v>11000</v>
      </c>
      <c r="J47" s="97">
        <v>1080</v>
      </c>
      <c r="Q47" s="26"/>
      <c r="R47" s="38"/>
      <c r="S47" s="39"/>
      <c r="T47" s="39"/>
      <c r="U47" s="39"/>
      <c r="W47" s="40"/>
    </row>
    <row r="48" spans="2:23">
      <c r="B48" s="96">
        <v>46</v>
      </c>
      <c r="C48" s="34" t="s">
        <v>145</v>
      </c>
      <c r="D48" s="34" t="s">
        <v>146</v>
      </c>
      <c r="E48" s="34" t="s">
        <v>52</v>
      </c>
      <c r="F48" s="34" t="s">
        <v>76</v>
      </c>
      <c r="G48" s="35">
        <v>50</v>
      </c>
      <c r="H48" s="36">
        <v>35034</v>
      </c>
      <c r="I48" s="37">
        <v>9000</v>
      </c>
      <c r="J48" s="97">
        <v>780</v>
      </c>
      <c r="Q48" s="26"/>
      <c r="R48" s="38"/>
      <c r="S48" s="39"/>
      <c r="T48" s="39"/>
      <c r="U48" s="39"/>
      <c r="W48" s="40"/>
    </row>
    <row r="49" spans="2:23">
      <c r="B49" s="96">
        <v>47</v>
      </c>
      <c r="C49" s="34" t="s">
        <v>147</v>
      </c>
      <c r="D49" s="34" t="s">
        <v>148</v>
      </c>
      <c r="E49" s="34" t="s">
        <v>52</v>
      </c>
      <c r="F49" s="34" t="s">
        <v>76</v>
      </c>
      <c r="G49" s="35">
        <v>50</v>
      </c>
      <c r="H49" s="36">
        <v>32442</v>
      </c>
      <c r="I49" s="37">
        <v>10000</v>
      </c>
      <c r="J49" s="97">
        <v>2350</v>
      </c>
      <c r="Q49" s="26"/>
      <c r="R49" s="38"/>
      <c r="S49" s="39"/>
      <c r="T49" s="39"/>
      <c r="U49" s="39"/>
      <c r="W49" s="40"/>
    </row>
    <row r="50" spans="2:23">
      <c r="B50" s="96">
        <v>48</v>
      </c>
      <c r="C50" s="34" t="s">
        <v>149</v>
      </c>
      <c r="D50" s="34" t="s">
        <v>150</v>
      </c>
      <c r="E50" s="34" t="s">
        <v>75</v>
      </c>
      <c r="F50" s="34" t="s">
        <v>59</v>
      </c>
      <c r="G50" s="35">
        <v>30</v>
      </c>
      <c r="H50" s="36">
        <v>32755</v>
      </c>
      <c r="I50" s="37">
        <v>7100</v>
      </c>
      <c r="J50" s="97">
        <v>4100</v>
      </c>
      <c r="Q50" s="26"/>
      <c r="R50" s="38"/>
      <c r="S50" s="39"/>
      <c r="T50" s="39"/>
      <c r="U50" s="39"/>
      <c r="W50" s="40"/>
    </row>
    <row r="51" spans="2:23">
      <c r="B51" s="96">
        <v>49</v>
      </c>
      <c r="C51" s="34" t="s">
        <v>151</v>
      </c>
      <c r="D51" s="34" t="s">
        <v>66</v>
      </c>
      <c r="E51" s="34" t="s">
        <v>52</v>
      </c>
      <c r="F51" s="34" t="s">
        <v>76</v>
      </c>
      <c r="G51" s="35">
        <v>50</v>
      </c>
      <c r="H51" s="36">
        <v>32435</v>
      </c>
      <c r="I51" s="37">
        <v>9000</v>
      </c>
      <c r="J51" s="97">
        <v>755</v>
      </c>
      <c r="Q51" s="26"/>
      <c r="R51" s="38"/>
      <c r="S51" s="39"/>
      <c r="T51" s="39"/>
      <c r="U51" s="39"/>
      <c r="W51" s="40"/>
    </row>
    <row r="52" spans="2:23">
      <c r="B52" s="96">
        <v>50</v>
      </c>
      <c r="C52" s="34" t="s">
        <v>152</v>
      </c>
      <c r="D52" s="34" t="s">
        <v>153</v>
      </c>
      <c r="E52" s="34" t="s">
        <v>71</v>
      </c>
      <c r="F52" s="34" t="s">
        <v>55</v>
      </c>
      <c r="G52" s="35">
        <v>10</v>
      </c>
      <c r="H52" s="36">
        <v>29172</v>
      </c>
      <c r="I52" s="37">
        <v>13000</v>
      </c>
      <c r="J52" s="97">
        <v>2800</v>
      </c>
      <c r="Q52" s="26"/>
      <c r="R52" s="38"/>
      <c r="S52" s="39"/>
      <c r="T52" s="39"/>
      <c r="U52" s="39"/>
      <c r="W52" s="40"/>
    </row>
    <row r="53" spans="2:23">
      <c r="B53" s="96">
        <v>51</v>
      </c>
      <c r="C53" s="34" t="s">
        <v>154</v>
      </c>
      <c r="D53" s="34" t="s">
        <v>155</v>
      </c>
      <c r="E53" s="34" t="s">
        <v>71</v>
      </c>
      <c r="F53" s="34" t="s">
        <v>55</v>
      </c>
      <c r="G53" s="35">
        <v>10</v>
      </c>
      <c r="H53" s="36">
        <v>32440</v>
      </c>
      <c r="I53" s="37">
        <v>10000</v>
      </c>
      <c r="J53" s="97">
        <v>1015</v>
      </c>
      <c r="Q53" s="26"/>
      <c r="R53" s="38"/>
      <c r="S53" s="39"/>
      <c r="T53" s="39"/>
      <c r="U53" s="39"/>
      <c r="W53" s="40"/>
    </row>
    <row r="54" spans="2:23">
      <c r="B54" s="96">
        <v>52</v>
      </c>
      <c r="C54" s="34" t="s">
        <v>156</v>
      </c>
      <c r="D54" s="34" t="s">
        <v>157</v>
      </c>
      <c r="E54" s="34" t="s">
        <v>71</v>
      </c>
      <c r="F54" s="34" t="s">
        <v>59</v>
      </c>
      <c r="G54" s="35">
        <v>10</v>
      </c>
      <c r="H54" s="36">
        <v>36506</v>
      </c>
      <c r="I54" s="37">
        <v>8500</v>
      </c>
      <c r="J54" s="97">
        <v>4185</v>
      </c>
      <c r="Q54" s="26"/>
      <c r="R54" s="38"/>
      <c r="S54" s="39"/>
      <c r="T54" s="39"/>
      <c r="U54" s="39"/>
      <c r="W54" s="40"/>
    </row>
    <row r="55" spans="2:23">
      <c r="B55" s="96">
        <v>53</v>
      </c>
      <c r="C55" s="34" t="s">
        <v>158</v>
      </c>
      <c r="D55" s="34" t="s">
        <v>94</v>
      </c>
      <c r="E55" s="34" t="s">
        <v>58</v>
      </c>
      <c r="F55" s="34" t="s">
        <v>59</v>
      </c>
      <c r="G55" s="35">
        <v>60</v>
      </c>
      <c r="H55" s="36">
        <v>32443</v>
      </c>
      <c r="I55" s="37">
        <v>10000</v>
      </c>
      <c r="J55" s="97">
        <v>3620</v>
      </c>
      <c r="Q55" s="26"/>
      <c r="R55" s="38"/>
      <c r="S55" s="39"/>
      <c r="T55" s="39"/>
      <c r="U55" s="39"/>
      <c r="W55" s="40"/>
    </row>
    <row r="56" spans="2:23">
      <c r="B56" s="96">
        <v>54</v>
      </c>
      <c r="C56" s="34" t="s">
        <v>159</v>
      </c>
      <c r="D56" s="34" t="s">
        <v>160</v>
      </c>
      <c r="E56" s="34" t="s">
        <v>64</v>
      </c>
      <c r="F56" s="34" t="s">
        <v>76</v>
      </c>
      <c r="G56" s="35">
        <v>20</v>
      </c>
      <c r="H56" s="36">
        <v>31637</v>
      </c>
      <c r="I56" s="37">
        <v>6000</v>
      </c>
      <c r="J56" s="97">
        <v>1125</v>
      </c>
      <c r="Q56" s="26"/>
      <c r="R56" s="38"/>
      <c r="S56" s="39"/>
      <c r="T56" s="39"/>
      <c r="U56" s="39"/>
      <c r="W56" s="40"/>
    </row>
    <row r="57" spans="2:23">
      <c r="B57" s="96">
        <v>55</v>
      </c>
      <c r="C57" s="34" t="s">
        <v>161</v>
      </c>
      <c r="D57" s="34" t="s">
        <v>162</v>
      </c>
      <c r="E57" s="34" t="s">
        <v>64</v>
      </c>
      <c r="F57" s="34" t="s">
        <v>55</v>
      </c>
      <c r="G57" s="35">
        <v>20</v>
      </c>
      <c r="H57" s="36">
        <v>32603</v>
      </c>
      <c r="I57" s="37">
        <v>9900</v>
      </c>
      <c r="J57" s="97">
        <v>235</v>
      </c>
      <c r="Q57" s="26"/>
      <c r="R57" s="38"/>
      <c r="S57" s="39"/>
      <c r="T57" s="39"/>
      <c r="U57" s="39"/>
      <c r="W57" s="40"/>
    </row>
    <row r="58" spans="2:23">
      <c r="B58" s="96">
        <v>56</v>
      </c>
      <c r="C58" s="34" t="s">
        <v>163</v>
      </c>
      <c r="D58" s="34" t="s">
        <v>164</v>
      </c>
      <c r="E58" s="34" t="s">
        <v>75</v>
      </c>
      <c r="F58" s="34" t="s">
        <v>55</v>
      </c>
      <c r="G58" s="35">
        <v>30</v>
      </c>
      <c r="H58" s="36">
        <v>36222</v>
      </c>
      <c r="I58" s="37">
        <v>4000</v>
      </c>
      <c r="J58" s="97">
        <v>4725</v>
      </c>
      <c r="Q58" s="26"/>
      <c r="R58" s="38"/>
      <c r="S58" s="39"/>
      <c r="T58" s="39"/>
      <c r="U58" s="39"/>
      <c r="W58" s="40"/>
    </row>
    <row r="59" spans="2:23">
      <c r="B59" s="96">
        <v>57</v>
      </c>
      <c r="C59" s="34" t="s">
        <v>165</v>
      </c>
      <c r="D59" s="34" t="s">
        <v>124</v>
      </c>
      <c r="E59" s="34" t="s">
        <v>58</v>
      </c>
      <c r="F59" s="34" t="s">
        <v>55</v>
      </c>
      <c r="G59" s="35">
        <v>60</v>
      </c>
      <c r="H59" s="36">
        <v>32435</v>
      </c>
      <c r="I59" s="37">
        <v>9000</v>
      </c>
      <c r="J59" s="97">
        <v>4265</v>
      </c>
      <c r="Q59" s="26"/>
      <c r="R59" s="38"/>
      <c r="S59" s="39"/>
      <c r="T59" s="39"/>
      <c r="U59" s="39"/>
      <c r="W59" s="40"/>
    </row>
    <row r="60" spans="2:23">
      <c r="B60" s="96">
        <v>58</v>
      </c>
      <c r="C60" s="34" t="s">
        <v>166</v>
      </c>
      <c r="D60" s="34" t="s">
        <v>167</v>
      </c>
      <c r="E60" s="34" t="s">
        <v>75</v>
      </c>
      <c r="F60" s="34" t="s">
        <v>55</v>
      </c>
      <c r="G60" s="35">
        <v>10</v>
      </c>
      <c r="H60" s="36">
        <v>33510</v>
      </c>
      <c r="I60" s="37">
        <v>7600</v>
      </c>
      <c r="J60" s="97">
        <v>3615</v>
      </c>
      <c r="Q60" s="26"/>
      <c r="R60" s="38"/>
      <c r="S60" s="39"/>
      <c r="T60" s="39"/>
      <c r="U60" s="39"/>
      <c r="W60" s="40"/>
    </row>
    <row r="61" spans="2:23">
      <c r="B61" s="96">
        <v>59</v>
      </c>
      <c r="C61" s="34" t="s">
        <v>166</v>
      </c>
      <c r="D61" s="34" t="s">
        <v>168</v>
      </c>
      <c r="E61" s="34" t="s">
        <v>58</v>
      </c>
      <c r="F61" s="34" t="s">
        <v>79</v>
      </c>
      <c r="G61" s="35">
        <v>10</v>
      </c>
      <c r="H61" s="36">
        <v>34580</v>
      </c>
      <c r="I61" s="37">
        <v>6700</v>
      </c>
      <c r="J61" s="97">
        <v>3195</v>
      </c>
      <c r="Q61" s="26"/>
      <c r="R61" s="38"/>
      <c r="S61" s="39"/>
      <c r="T61" s="39"/>
      <c r="U61" s="39"/>
      <c r="W61" s="40"/>
    </row>
    <row r="62" spans="2:23">
      <c r="B62" s="96">
        <v>60</v>
      </c>
      <c r="C62" s="34" t="s">
        <v>166</v>
      </c>
      <c r="D62" s="34" t="s">
        <v>169</v>
      </c>
      <c r="E62" s="34" t="s">
        <v>71</v>
      </c>
      <c r="F62" s="34" t="s">
        <v>76</v>
      </c>
      <c r="G62" s="35">
        <v>10</v>
      </c>
      <c r="H62" s="36">
        <v>29362</v>
      </c>
      <c r="I62" s="37">
        <v>8500</v>
      </c>
      <c r="J62" s="97">
        <v>2395</v>
      </c>
      <c r="Q62" s="26"/>
      <c r="R62" s="38"/>
      <c r="S62" s="39"/>
      <c r="T62" s="39"/>
      <c r="U62" s="39"/>
      <c r="W62" s="40"/>
    </row>
    <row r="63" spans="2:23">
      <c r="B63" s="96">
        <v>61</v>
      </c>
      <c r="C63" s="34" t="s">
        <v>170</v>
      </c>
      <c r="D63" s="34" t="s">
        <v>66</v>
      </c>
      <c r="E63" s="34" t="s">
        <v>58</v>
      </c>
      <c r="F63" s="34" t="s">
        <v>59</v>
      </c>
      <c r="G63" s="35">
        <v>60</v>
      </c>
      <c r="H63" s="36">
        <v>34761</v>
      </c>
      <c r="I63" s="37">
        <v>8000</v>
      </c>
      <c r="J63" s="97">
        <v>4365</v>
      </c>
      <c r="Q63" s="26"/>
      <c r="R63" s="38"/>
      <c r="S63" s="39"/>
      <c r="T63" s="39"/>
      <c r="U63" s="39"/>
      <c r="W63" s="40"/>
    </row>
    <row r="64" spans="2:23">
      <c r="B64" s="96">
        <v>62</v>
      </c>
      <c r="C64" s="34" t="s">
        <v>171</v>
      </c>
      <c r="D64" s="34" t="s">
        <v>172</v>
      </c>
      <c r="E64" s="34" t="s">
        <v>58</v>
      </c>
      <c r="F64" s="34" t="s">
        <v>59</v>
      </c>
      <c r="G64" s="35">
        <v>60</v>
      </c>
      <c r="H64" s="36">
        <v>31030</v>
      </c>
      <c r="I64" s="37">
        <v>8500</v>
      </c>
      <c r="J64" s="97">
        <v>795</v>
      </c>
      <c r="Q64" s="26"/>
      <c r="R64" s="38"/>
      <c r="S64" s="39"/>
      <c r="T64" s="39"/>
      <c r="U64" s="39"/>
      <c r="W64" s="40"/>
    </row>
    <row r="65" spans="2:23">
      <c r="B65" s="96">
        <v>63</v>
      </c>
      <c r="C65" s="34" t="s">
        <v>173</v>
      </c>
      <c r="D65" s="34" t="s">
        <v>126</v>
      </c>
      <c r="E65" s="34" t="s">
        <v>75</v>
      </c>
      <c r="F65" s="34" t="s">
        <v>59</v>
      </c>
      <c r="G65" s="35">
        <v>30</v>
      </c>
      <c r="H65" s="36">
        <v>29226</v>
      </c>
      <c r="I65" s="37">
        <v>13000</v>
      </c>
      <c r="J65" s="97">
        <v>4605</v>
      </c>
      <c r="Q65" s="26"/>
      <c r="R65" s="38"/>
      <c r="S65" s="39"/>
      <c r="T65" s="39"/>
      <c r="U65" s="39"/>
      <c r="W65" s="40"/>
    </row>
    <row r="66" spans="2:23">
      <c r="B66" s="96">
        <v>64</v>
      </c>
      <c r="C66" s="34" t="s">
        <v>174</v>
      </c>
      <c r="D66" s="34" t="s">
        <v>175</v>
      </c>
      <c r="E66" s="34" t="s">
        <v>75</v>
      </c>
      <c r="F66" s="34" t="s">
        <v>79</v>
      </c>
      <c r="G66" s="35">
        <v>30</v>
      </c>
      <c r="H66" s="36">
        <v>32608</v>
      </c>
      <c r="I66" s="37">
        <v>9900</v>
      </c>
      <c r="J66" s="97">
        <v>4910</v>
      </c>
      <c r="Q66" s="26"/>
      <c r="R66" s="38"/>
      <c r="S66" s="39"/>
      <c r="T66" s="39"/>
      <c r="U66" s="39"/>
      <c r="W66" s="40"/>
    </row>
    <row r="67" spans="2:23">
      <c r="B67" s="96">
        <v>65</v>
      </c>
      <c r="C67" s="34" t="s">
        <v>176</v>
      </c>
      <c r="D67" s="34" t="s">
        <v>177</v>
      </c>
      <c r="E67" s="34" t="s">
        <v>64</v>
      </c>
      <c r="F67" s="34" t="s">
        <v>76</v>
      </c>
      <c r="G67" s="35">
        <v>20</v>
      </c>
      <c r="H67" s="36">
        <v>32605</v>
      </c>
      <c r="I67" s="37">
        <v>9900</v>
      </c>
      <c r="J67" s="97">
        <v>4890</v>
      </c>
      <c r="Q67" s="26"/>
      <c r="R67" s="38"/>
      <c r="S67" s="39"/>
      <c r="T67" s="39"/>
      <c r="U67" s="39"/>
      <c r="W67" s="40"/>
    </row>
    <row r="68" spans="2:23">
      <c r="B68" s="96">
        <v>66</v>
      </c>
      <c r="C68" s="34" t="s">
        <v>178</v>
      </c>
      <c r="D68" s="34" t="s">
        <v>179</v>
      </c>
      <c r="E68" s="34" t="s">
        <v>71</v>
      </c>
      <c r="F68" s="34" t="s">
        <v>59</v>
      </c>
      <c r="G68" s="35">
        <v>10</v>
      </c>
      <c r="H68" s="36">
        <v>28126</v>
      </c>
      <c r="I68" s="37">
        <v>12500</v>
      </c>
      <c r="J68" s="97">
        <v>1750</v>
      </c>
      <c r="Q68" s="26"/>
      <c r="R68" s="38"/>
      <c r="S68" s="39"/>
      <c r="U68" s="39"/>
      <c r="W68" s="40"/>
    </row>
    <row r="69" spans="2:23">
      <c r="B69" s="96">
        <v>67</v>
      </c>
      <c r="C69" s="34" t="s">
        <v>180</v>
      </c>
      <c r="D69" s="34" t="s">
        <v>181</v>
      </c>
      <c r="E69" s="34" t="s">
        <v>52</v>
      </c>
      <c r="F69" s="34" t="s">
        <v>79</v>
      </c>
      <c r="G69" s="35">
        <v>50</v>
      </c>
      <c r="H69" s="36">
        <v>32435</v>
      </c>
      <c r="I69" s="37">
        <v>9000</v>
      </c>
      <c r="J69" s="97">
        <v>605</v>
      </c>
      <c r="Q69" s="26"/>
      <c r="R69" s="38"/>
      <c r="S69" s="39"/>
      <c r="T69" s="39"/>
      <c r="U69" s="39"/>
      <c r="W69" s="40"/>
    </row>
    <row r="70" spans="2:23">
      <c r="B70" s="96">
        <v>68</v>
      </c>
      <c r="C70" s="34" t="s">
        <v>182</v>
      </c>
      <c r="D70" s="34" t="s">
        <v>183</v>
      </c>
      <c r="E70" s="34" t="s">
        <v>64</v>
      </c>
      <c r="F70" s="34" t="s">
        <v>55</v>
      </c>
      <c r="G70" s="35">
        <v>20</v>
      </c>
      <c r="H70" s="36">
        <v>34762</v>
      </c>
      <c r="I70" s="37">
        <v>8000</v>
      </c>
      <c r="J70" s="97">
        <v>3225</v>
      </c>
      <c r="Q70" s="26"/>
      <c r="R70" s="38"/>
      <c r="S70" s="39"/>
      <c r="T70" s="39"/>
      <c r="U70" s="39"/>
      <c r="W70" s="40"/>
    </row>
    <row r="71" spans="2:23">
      <c r="B71" s="96">
        <v>69</v>
      </c>
      <c r="C71" s="34" t="s">
        <v>184</v>
      </c>
      <c r="D71" s="34" t="s">
        <v>185</v>
      </c>
      <c r="E71" s="34" t="s">
        <v>71</v>
      </c>
      <c r="F71" s="34" t="s">
        <v>59</v>
      </c>
      <c r="G71" s="35">
        <v>10</v>
      </c>
      <c r="H71" s="36">
        <v>33510</v>
      </c>
      <c r="I71" s="37">
        <v>6000</v>
      </c>
      <c r="J71" s="97">
        <v>4500</v>
      </c>
      <c r="Q71" s="26"/>
      <c r="R71" s="38"/>
      <c r="S71" s="39"/>
      <c r="U71" s="39"/>
      <c r="W71" s="40"/>
    </row>
    <row r="72" spans="2:23">
      <c r="B72" s="96">
        <v>70</v>
      </c>
      <c r="C72" s="34" t="s">
        <v>186</v>
      </c>
      <c r="D72" s="34" t="s">
        <v>187</v>
      </c>
      <c r="E72" s="34" t="s">
        <v>71</v>
      </c>
      <c r="F72" s="34" t="s">
        <v>55</v>
      </c>
      <c r="G72" s="35">
        <v>10</v>
      </c>
      <c r="H72" s="36">
        <v>33787</v>
      </c>
      <c r="I72" s="37">
        <v>7500</v>
      </c>
      <c r="J72" s="97">
        <v>1585</v>
      </c>
      <c r="Q72" s="26"/>
      <c r="R72" s="38"/>
      <c r="S72" s="39"/>
      <c r="T72" s="39"/>
      <c r="U72" s="39"/>
      <c r="W72" s="40"/>
    </row>
    <row r="73" spans="2:23">
      <c r="B73" s="96">
        <v>71</v>
      </c>
      <c r="C73" s="34" t="s">
        <v>188</v>
      </c>
      <c r="D73" s="34" t="s">
        <v>189</v>
      </c>
      <c r="E73" s="34" t="s">
        <v>75</v>
      </c>
      <c r="F73" s="34" t="s">
        <v>59</v>
      </c>
      <c r="G73" s="35">
        <v>30</v>
      </c>
      <c r="H73" s="36">
        <v>35809</v>
      </c>
      <c r="I73" s="37">
        <v>4000</v>
      </c>
      <c r="J73" s="97">
        <v>150</v>
      </c>
      <c r="Q73" s="26"/>
      <c r="R73" s="38"/>
      <c r="S73" s="39"/>
      <c r="T73" s="39"/>
      <c r="U73" s="39"/>
      <c r="W73" s="40"/>
    </row>
    <row r="74" spans="2:23">
      <c r="B74" s="96">
        <v>72</v>
      </c>
      <c r="C74" s="34" t="s">
        <v>190</v>
      </c>
      <c r="D74" s="34" t="s">
        <v>110</v>
      </c>
      <c r="E74" s="34" t="s">
        <v>58</v>
      </c>
      <c r="F74" s="34" t="s">
        <v>76</v>
      </c>
      <c r="G74" s="35">
        <v>60</v>
      </c>
      <c r="H74" s="36">
        <v>32435</v>
      </c>
      <c r="I74" s="37">
        <v>9000</v>
      </c>
      <c r="J74" s="97">
        <v>1990</v>
      </c>
      <c r="Q74" s="26"/>
      <c r="R74" s="38"/>
      <c r="S74" s="39"/>
      <c r="T74" s="39"/>
      <c r="U74" s="39"/>
      <c r="W74" s="40"/>
    </row>
    <row r="75" spans="2:23">
      <c r="B75" s="96">
        <v>73</v>
      </c>
      <c r="C75" s="34" t="s">
        <v>191</v>
      </c>
      <c r="D75" s="34" t="s">
        <v>192</v>
      </c>
      <c r="E75" s="34" t="s">
        <v>84</v>
      </c>
      <c r="F75" s="34" t="s">
        <v>79</v>
      </c>
      <c r="G75" s="35">
        <v>40</v>
      </c>
      <c r="H75" s="36">
        <v>36193</v>
      </c>
      <c r="I75" s="37">
        <v>4500</v>
      </c>
      <c r="J75" s="97">
        <v>1765</v>
      </c>
      <c r="Q75" s="26"/>
      <c r="R75" s="38"/>
      <c r="S75" s="39"/>
      <c r="T75" s="39"/>
      <c r="U75" s="39"/>
      <c r="W75" s="40"/>
    </row>
    <row r="76" spans="2:23">
      <c r="B76" s="96">
        <v>74</v>
      </c>
      <c r="C76" s="34" t="s">
        <v>193</v>
      </c>
      <c r="D76" s="34" t="s">
        <v>194</v>
      </c>
      <c r="E76" s="34" t="s">
        <v>64</v>
      </c>
      <c r="F76" s="34" t="s">
        <v>59</v>
      </c>
      <c r="G76" s="35">
        <v>20</v>
      </c>
      <c r="H76" s="36">
        <v>32445</v>
      </c>
      <c r="I76" s="37">
        <v>10000</v>
      </c>
      <c r="J76" s="97">
        <v>3405</v>
      </c>
      <c r="Q76" s="26"/>
      <c r="R76" s="38"/>
      <c r="S76" s="39"/>
      <c r="T76" s="39"/>
      <c r="U76" s="39"/>
      <c r="W76" s="40"/>
    </row>
    <row r="77" spans="2:23">
      <c r="B77" s="96">
        <v>75</v>
      </c>
      <c r="C77" s="34" t="s">
        <v>195</v>
      </c>
      <c r="D77" s="34" t="s">
        <v>196</v>
      </c>
      <c r="E77" s="34" t="s">
        <v>64</v>
      </c>
      <c r="F77" s="34" t="s">
        <v>59</v>
      </c>
      <c r="G77" s="35">
        <v>20</v>
      </c>
      <c r="H77" s="36">
        <v>36317</v>
      </c>
      <c r="I77" s="37">
        <v>4500</v>
      </c>
      <c r="J77" s="97">
        <v>4555</v>
      </c>
      <c r="Q77" s="26"/>
      <c r="R77" s="38"/>
      <c r="S77" s="39"/>
      <c r="T77" s="39"/>
      <c r="U77" s="39"/>
      <c r="W77" s="40"/>
    </row>
    <row r="78" spans="2:23">
      <c r="B78" s="96">
        <v>76</v>
      </c>
      <c r="C78" s="34" t="s">
        <v>197</v>
      </c>
      <c r="D78" s="34" t="s">
        <v>198</v>
      </c>
      <c r="E78" s="34" t="s">
        <v>75</v>
      </c>
      <c r="F78" s="34" t="s">
        <v>59</v>
      </c>
      <c r="G78" s="35">
        <v>30</v>
      </c>
      <c r="H78" s="36">
        <v>32755</v>
      </c>
      <c r="I78" s="37">
        <v>12000</v>
      </c>
      <c r="J78" s="97">
        <v>2020</v>
      </c>
      <c r="Q78" s="26"/>
      <c r="R78" s="38"/>
      <c r="S78" s="39"/>
      <c r="T78" s="39"/>
      <c r="U78" s="39"/>
      <c r="W78" s="40"/>
    </row>
    <row r="79" spans="2:23">
      <c r="B79" s="96">
        <v>77</v>
      </c>
      <c r="C79" s="34" t="s">
        <v>199</v>
      </c>
      <c r="D79" s="34" t="s">
        <v>148</v>
      </c>
      <c r="E79" s="34" t="s">
        <v>58</v>
      </c>
      <c r="F79" s="34" t="s">
        <v>76</v>
      </c>
      <c r="G79" s="35">
        <v>60</v>
      </c>
      <c r="H79" s="36">
        <v>33194</v>
      </c>
      <c r="I79" s="37">
        <v>7900</v>
      </c>
      <c r="J79" s="97">
        <v>505</v>
      </c>
      <c r="Q79" s="26"/>
      <c r="R79" s="38"/>
      <c r="S79" s="39"/>
      <c r="T79" s="39"/>
      <c r="U79" s="39"/>
      <c r="W79" s="40"/>
    </row>
    <row r="80" spans="2:23">
      <c r="B80" s="96">
        <v>78</v>
      </c>
      <c r="C80" s="34" t="s">
        <v>200</v>
      </c>
      <c r="D80" s="34" t="s">
        <v>201</v>
      </c>
      <c r="E80" s="34" t="s">
        <v>64</v>
      </c>
      <c r="F80" s="34" t="s">
        <v>76</v>
      </c>
      <c r="G80" s="35">
        <v>20</v>
      </c>
      <c r="H80" s="36">
        <v>36319</v>
      </c>
      <c r="I80" s="37">
        <v>4500</v>
      </c>
      <c r="J80" s="97">
        <v>375</v>
      </c>
      <c r="Q80" s="26"/>
      <c r="R80" s="38"/>
      <c r="S80" s="39"/>
      <c r="T80" s="39"/>
      <c r="U80" s="39"/>
      <c r="W80" s="40"/>
    </row>
    <row r="81" spans="2:23">
      <c r="B81" s="96">
        <v>79</v>
      </c>
      <c r="C81" s="34" t="s">
        <v>202</v>
      </c>
      <c r="D81" s="34" t="s">
        <v>138</v>
      </c>
      <c r="E81" s="34" t="s">
        <v>203</v>
      </c>
      <c r="F81" s="34" t="s">
        <v>55</v>
      </c>
      <c r="G81" s="35">
        <v>80</v>
      </c>
      <c r="H81" s="36">
        <v>31028</v>
      </c>
      <c r="I81" s="37">
        <v>15000</v>
      </c>
      <c r="J81" s="97">
        <v>3195</v>
      </c>
      <c r="Q81" s="26"/>
      <c r="R81" s="38"/>
      <c r="S81" s="39"/>
      <c r="T81" s="39"/>
      <c r="U81" s="39"/>
      <c r="W81" s="40"/>
    </row>
    <row r="82" spans="2:23">
      <c r="B82" s="96">
        <v>80</v>
      </c>
      <c r="C82" s="34" t="s">
        <v>202</v>
      </c>
      <c r="D82" s="34" t="s">
        <v>204</v>
      </c>
      <c r="E82" s="34" t="s">
        <v>84</v>
      </c>
      <c r="F82" s="34" t="s">
        <v>59</v>
      </c>
      <c r="G82" s="35">
        <v>40</v>
      </c>
      <c r="H82" s="36">
        <v>30225</v>
      </c>
      <c r="I82" s="37">
        <v>14000</v>
      </c>
      <c r="J82" s="97">
        <v>2780</v>
      </c>
      <c r="Q82" s="26"/>
      <c r="R82" s="38"/>
      <c r="S82" s="39"/>
      <c r="T82" s="39"/>
      <c r="U82" s="39"/>
      <c r="W82" s="40"/>
    </row>
    <row r="83" spans="2:23">
      <c r="B83" s="96">
        <v>81</v>
      </c>
      <c r="C83" s="34" t="s">
        <v>205</v>
      </c>
      <c r="D83" s="34" t="s">
        <v>206</v>
      </c>
      <c r="E83" s="34" t="s">
        <v>51</v>
      </c>
      <c r="F83" s="34" t="s">
        <v>76</v>
      </c>
      <c r="G83" s="35">
        <v>70</v>
      </c>
      <c r="H83" s="36">
        <v>30376</v>
      </c>
      <c r="I83" s="42">
        <v>12000</v>
      </c>
      <c r="J83" s="98">
        <v>865</v>
      </c>
      <c r="Q83" s="26"/>
      <c r="R83" s="38"/>
      <c r="S83" s="39"/>
      <c r="T83" s="39"/>
      <c r="U83" s="39"/>
      <c r="W83" s="40"/>
    </row>
    <row r="84" spans="2:23">
      <c r="B84" s="96">
        <v>82</v>
      </c>
      <c r="C84" s="34" t="s">
        <v>205</v>
      </c>
      <c r="D84" s="34" t="s">
        <v>207</v>
      </c>
      <c r="E84" s="34" t="s">
        <v>84</v>
      </c>
      <c r="F84" s="34" t="s">
        <v>76</v>
      </c>
      <c r="G84" s="35">
        <v>40</v>
      </c>
      <c r="H84" s="36">
        <v>30225</v>
      </c>
      <c r="I84" s="37">
        <v>14000</v>
      </c>
      <c r="J84" s="97">
        <v>4865</v>
      </c>
      <c r="Q84" s="26"/>
      <c r="R84" s="38"/>
      <c r="S84" s="39"/>
      <c r="T84" s="39"/>
      <c r="U84" s="39"/>
      <c r="W84" s="40"/>
    </row>
    <row r="85" spans="2:23">
      <c r="B85" s="96">
        <v>83</v>
      </c>
      <c r="C85" s="34" t="s">
        <v>208</v>
      </c>
      <c r="D85" s="34" t="s">
        <v>196</v>
      </c>
      <c r="E85" s="34" t="s">
        <v>52</v>
      </c>
      <c r="F85" s="34" t="s">
        <v>59</v>
      </c>
      <c r="G85" s="35">
        <v>50</v>
      </c>
      <c r="H85" s="36">
        <v>35810</v>
      </c>
      <c r="I85" s="37">
        <v>10000</v>
      </c>
      <c r="J85" s="97">
        <v>355</v>
      </c>
      <c r="Q85" s="26"/>
      <c r="R85" s="38"/>
      <c r="S85" s="39"/>
      <c r="T85" s="39"/>
      <c r="U85" s="39"/>
      <c r="W85" s="40"/>
    </row>
    <row r="86" spans="2:23">
      <c r="B86" s="96">
        <v>84</v>
      </c>
      <c r="C86" s="34" t="s">
        <v>209</v>
      </c>
      <c r="D86" s="34" t="s">
        <v>142</v>
      </c>
      <c r="E86" s="34" t="s">
        <v>64</v>
      </c>
      <c r="F86" s="34" t="s">
        <v>55</v>
      </c>
      <c r="G86" s="35">
        <v>20</v>
      </c>
      <c r="H86" s="36">
        <v>36318</v>
      </c>
      <c r="I86" s="37">
        <v>4500</v>
      </c>
      <c r="J86" s="97">
        <v>4580</v>
      </c>
      <c r="Q86" s="26"/>
      <c r="R86" s="38"/>
      <c r="S86" s="39"/>
      <c r="T86" s="39"/>
      <c r="U86" s="39"/>
      <c r="W86" s="40"/>
    </row>
    <row r="87" spans="2:23">
      <c r="B87" s="96">
        <v>85</v>
      </c>
      <c r="C87" s="34" t="s">
        <v>210</v>
      </c>
      <c r="D87" s="34" t="s">
        <v>211</v>
      </c>
      <c r="E87" s="34" t="s">
        <v>84</v>
      </c>
      <c r="F87" s="34" t="s">
        <v>55</v>
      </c>
      <c r="G87" s="35">
        <v>40</v>
      </c>
      <c r="H87" s="36">
        <v>31402</v>
      </c>
      <c r="I87" s="37">
        <v>8500</v>
      </c>
      <c r="J87" s="97">
        <v>755</v>
      </c>
      <c r="Q87" s="26"/>
      <c r="R87" s="38"/>
      <c r="S87" s="39"/>
      <c r="T87" s="39"/>
      <c r="U87" s="39"/>
      <c r="W87" s="40"/>
    </row>
    <row r="88" spans="2:23">
      <c r="B88" s="96">
        <v>86</v>
      </c>
      <c r="C88" s="34" t="s">
        <v>212</v>
      </c>
      <c r="D88" s="34" t="s">
        <v>213</v>
      </c>
      <c r="E88" s="34" t="s">
        <v>71</v>
      </c>
      <c r="F88" s="34" t="s">
        <v>79</v>
      </c>
      <c r="G88" s="35">
        <v>10</v>
      </c>
      <c r="H88" s="36">
        <v>28126</v>
      </c>
      <c r="I88" s="37">
        <v>10000</v>
      </c>
      <c r="J88" s="97">
        <v>3935</v>
      </c>
      <c r="Q88" s="26"/>
      <c r="R88" s="38"/>
      <c r="S88" s="39"/>
      <c r="T88" s="39"/>
      <c r="U88" s="39"/>
      <c r="W88" s="40"/>
    </row>
    <row r="89" spans="2:23">
      <c r="B89" s="96">
        <v>87</v>
      </c>
      <c r="C89" s="34" t="s">
        <v>214</v>
      </c>
      <c r="D89" s="34" t="s">
        <v>215</v>
      </c>
      <c r="E89" s="34" t="s">
        <v>51</v>
      </c>
      <c r="F89" s="34" t="s">
        <v>55</v>
      </c>
      <c r="G89" s="35">
        <v>70</v>
      </c>
      <c r="H89" s="36">
        <v>32441</v>
      </c>
      <c r="I89" s="37">
        <v>10000</v>
      </c>
      <c r="J89" s="97">
        <v>2655</v>
      </c>
      <c r="Q89" s="26"/>
      <c r="R89" s="38"/>
      <c r="S89" s="39"/>
      <c r="T89" s="39"/>
      <c r="U89" s="39"/>
      <c r="W89" s="40"/>
    </row>
    <row r="90" spans="2:23">
      <c r="B90" s="96">
        <v>88</v>
      </c>
      <c r="C90" s="34" t="s">
        <v>216</v>
      </c>
      <c r="D90" s="34" t="s">
        <v>217</v>
      </c>
      <c r="E90" s="34" t="s">
        <v>75</v>
      </c>
      <c r="F90" s="34" t="s">
        <v>76</v>
      </c>
      <c r="G90" s="35">
        <v>30</v>
      </c>
      <c r="H90" s="36">
        <v>34763</v>
      </c>
      <c r="I90" s="37">
        <v>8000</v>
      </c>
      <c r="J90" s="97">
        <v>1625</v>
      </c>
      <c r="Q90" s="26"/>
      <c r="R90" s="38"/>
      <c r="S90" s="39"/>
      <c r="T90" s="39"/>
      <c r="U90" s="39"/>
      <c r="W90" s="40"/>
    </row>
    <row r="91" spans="2:23">
      <c r="B91" s="96">
        <v>89</v>
      </c>
      <c r="C91" s="34" t="s">
        <v>218</v>
      </c>
      <c r="D91" s="34" t="s">
        <v>219</v>
      </c>
      <c r="E91" s="34" t="s">
        <v>52</v>
      </c>
      <c r="F91" s="34" t="s">
        <v>79</v>
      </c>
      <c r="G91" s="35">
        <v>50</v>
      </c>
      <c r="H91" s="36">
        <v>35618</v>
      </c>
      <c r="I91" s="37">
        <v>4000</v>
      </c>
      <c r="J91" s="97">
        <v>1245</v>
      </c>
      <c r="Q91" s="26"/>
      <c r="R91" s="38"/>
      <c r="S91" s="39"/>
      <c r="T91" s="39"/>
      <c r="U91" s="39"/>
      <c r="W91" s="40"/>
    </row>
    <row r="92" spans="2:23">
      <c r="B92" s="96">
        <v>90</v>
      </c>
      <c r="C92" s="34" t="s">
        <v>220</v>
      </c>
      <c r="D92" s="34" t="s">
        <v>221</v>
      </c>
      <c r="E92" s="34" t="s">
        <v>52</v>
      </c>
      <c r="F92" s="34" t="s">
        <v>79</v>
      </c>
      <c r="G92" s="35">
        <v>50</v>
      </c>
      <c r="H92" s="36">
        <v>32447</v>
      </c>
      <c r="I92" s="37">
        <v>10000</v>
      </c>
      <c r="J92" s="97">
        <v>3235</v>
      </c>
      <c r="Q92" s="26"/>
      <c r="R92" s="38"/>
      <c r="S92" s="39"/>
      <c r="T92" s="39"/>
      <c r="U92" s="39"/>
      <c r="W92" s="40"/>
    </row>
    <row r="93" spans="2:23">
      <c r="B93" s="96">
        <v>91</v>
      </c>
      <c r="C93" s="34" t="s">
        <v>222</v>
      </c>
      <c r="D93" s="34" t="s">
        <v>223</v>
      </c>
      <c r="E93" s="34" t="s">
        <v>71</v>
      </c>
      <c r="F93" s="34" t="s">
        <v>59</v>
      </c>
      <c r="G93" s="35">
        <v>10</v>
      </c>
      <c r="H93" s="36">
        <v>28907</v>
      </c>
      <c r="I93" s="37">
        <v>13000</v>
      </c>
      <c r="J93" s="97">
        <v>560</v>
      </c>
      <c r="Q93" s="26"/>
      <c r="R93" s="38"/>
      <c r="S93" s="39"/>
      <c r="T93" s="39"/>
      <c r="U93" s="39"/>
      <c r="W93" s="40"/>
    </row>
    <row r="94" spans="2:23">
      <c r="B94" s="96">
        <v>92</v>
      </c>
      <c r="C94" s="34" t="s">
        <v>224</v>
      </c>
      <c r="D94" s="34" t="s">
        <v>138</v>
      </c>
      <c r="E94" s="34" t="s">
        <v>52</v>
      </c>
      <c r="F94" s="34" t="s">
        <v>55</v>
      </c>
      <c r="G94" s="35">
        <v>50</v>
      </c>
      <c r="H94" s="36">
        <v>32442</v>
      </c>
      <c r="I94" s="37">
        <v>10000</v>
      </c>
      <c r="J94" s="97">
        <v>1390</v>
      </c>
      <c r="Q94" s="26"/>
      <c r="R94" s="38"/>
      <c r="S94" s="39"/>
      <c r="T94" s="39"/>
      <c r="U94" s="39"/>
      <c r="W94" s="40"/>
    </row>
    <row r="95" spans="2:23">
      <c r="B95" s="96">
        <v>93</v>
      </c>
      <c r="C95" s="34" t="s">
        <v>225</v>
      </c>
      <c r="D95" s="34" t="s">
        <v>183</v>
      </c>
      <c r="E95" s="34" t="s">
        <v>58</v>
      </c>
      <c r="F95" s="34" t="s">
        <v>59</v>
      </c>
      <c r="G95" s="35">
        <v>60</v>
      </c>
      <c r="H95" s="36">
        <v>32444</v>
      </c>
      <c r="I95" s="37">
        <v>11500</v>
      </c>
      <c r="J95" s="97">
        <v>4700</v>
      </c>
      <c r="Q95" s="26"/>
      <c r="R95" s="38"/>
      <c r="S95" s="39"/>
      <c r="T95" s="39"/>
      <c r="U95" s="39"/>
      <c r="W95" s="40"/>
    </row>
    <row r="96" spans="2:23">
      <c r="B96" s="96">
        <v>94</v>
      </c>
      <c r="C96" s="34" t="s">
        <v>226</v>
      </c>
      <c r="D96" s="34" t="s">
        <v>227</v>
      </c>
      <c r="E96" s="34" t="s">
        <v>58</v>
      </c>
      <c r="F96" s="34" t="s">
        <v>79</v>
      </c>
      <c r="G96" s="35">
        <v>60</v>
      </c>
      <c r="H96" s="36">
        <v>32441</v>
      </c>
      <c r="I96" s="37">
        <v>10000</v>
      </c>
      <c r="J96" s="97">
        <v>925</v>
      </c>
      <c r="Q96" s="26"/>
      <c r="R96" s="38"/>
      <c r="S96" s="39"/>
      <c r="T96" s="39"/>
      <c r="U96" s="39"/>
      <c r="W96" s="40"/>
    </row>
    <row r="97" spans="2:23">
      <c r="B97" s="96">
        <v>95</v>
      </c>
      <c r="C97" s="34" t="s">
        <v>228</v>
      </c>
      <c r="D97" s="34" t="s">
        <v>66</v>
      </c>
      <c r="E97" s="34" t="s">
        <v>51</v>
      </c>
      <c r="F97" s="34" t="s">
        <v>59</v>
      </c>
      <c r="G97" s="35">
        <v>70</v>
      </c>
      <c r="H97" s="36">
        <v>32180</v>
      </c>
      <c r="I97" s="37">
        <v>9000</v>
      </c>
      <c r="J97" s="97">
        <v>785</v>
      </c>
      <c r="Q97" s="26"/>
      <c r="R97" s="38"/>
      <c r="S97" s="39"/>
      <c r="U97" s="39"/>
      <c r="W97" s="40"/>
    </row>
    <row r="98" spans="2:23">
      <c r="B98" s="96">
        <v>96</v>
      </c>
      <c r="C98" s="34" t="s">
        <v>229</v>
      </c>
      <c r="D98" s="34" t="s">
        <v>230</v>
      </c>
      <c r="E98" s="34" t="s">
        <v>64</v>
      </c>
      <c r="F98" s="34" t="s">
        <v>76</v>
      </c>
      <c r="G98" s="35">
        <v>20</v>
      </c>
      <c r="H98" s="36">
        <v>35794</v>
      </c>
      <c r="I98" s="37">
        <v>4500</v>
      </c>
      <c r="J98" s="97">
        <v>1100</v>
      </c>
      <c r="Q98" s="26"/>
      <c r="R98" s="38"/>
      <c r="S98" s="39"/>
      <c r="T98" s="39"/>
      <c r="U98" s="39"/>
      <c r="W98" s="40"/>
    </row>
    <row r="99" spans="2:23">
      <c r="B99" s="96">
        <v>97</v>
      </c>
      <c r="C99" s="34" t="s">
        <v>231</v>
      </c>
      <c r="D99" s="34" t="s">
        <v>232</v>
      </c>
      <c r="E99" s="34" t="s">
        <v>52</v>
      </c>
      <c r="F99" s="34" t="s">
        <v>55</v>
      </c>
      <c r="G99" s="35">
        <v>50</v>
      </c>
      <c r="H99" s="36">
        <v>34761</v>
      </c>
      <c r="I99" s="37">
        <v>9000</v>
      </c>
      <c r="J99" s="97">
        <v>4235</v>
      </c>
      <c r="Q99" s="26"/>
      <c r="R99" s="38"/>
      <c r="S99" s="39"/>
      <c r="T99" s="39"/>
      <c r="U99" s="39"/>
      <c r="W99" s="40"/>
    </row>
    <row r="100" spans="2:23">
      <c r="B100" s="96">
        <v>98</v>
      </c>
      <c r="C100" s="34" t="s">
        <v>233</v>
      </c>
      <c r="D100" s="34" t="s">
        <v>201</v>
      </c>
      <c r="E100" s="34" t="s">
        <v>75</v>
      </c>
      <c r="F100" s="34" t="s">
        <v>59</v>
      </c>
      <c r="G100" s="35">
        <v>30</v>
      </c>
      <c r="H100" s="36">
        <v>32440</v>
      </c>
      <c r="I100" s="37">
        <v>10000</v>
      </c>
      <c r="J100" s="97">
        <v>2435</v>
      </c>
      <c r="Q100" s="26"/>
      <c r="R100" s="38"/>
      <c r="S100" s="39"/>
      <c r="T100" s="39"/>
      <c r="U100" s="39"/>
      <c r="W100" s="40"/>
    </row>
    <row r="101" spans="2:23">
      <c r="B101" s="96">
        <v>99</v>
      </c>
      <c r="C101" s="34" t="s">
        <v>234</v>
      </c>
      <c r="D101" s="34" t="s">
        <v>100</v>
      </c>
      <c r="E101" s="34" t="s">
        <v>75</v>
      </c>
      <c r="F101" s="34" t="s">
        <v>79</v>
      </c>
      <c r="G101" s="35">
        <v>30</v>
      </c>
      <c r="H101" s="36">
        <v>32438</v>
      </c>
      <c r="I101" s="37">
        <v>10000</v>
      </c>
      <c r="J101" s="97">
        <v>2460</v>
      </c>
      <c r="Q101" s="26"/>
      <c r="R101" s="38"/>
      <c r="S101" s="39"/>
      <c r="T101" s="39"/>
      <c r="U101" s="39"/>
      <c r="W101" s="40"/>
    </row>
    <row r="102" spans="2:23" ht="13.5" thickBot="1">
      <c r="B102" s="99">
        <v>100</v>
      </c>
      <c r="C102" s="100" t="s">
        <v>235</v>
      </c>
      <c r="D102" s="100" t="s">
        <v>118</v>
      </c>
      <c r="E102" s="100" t="s">
        <v>52</v>
      </c>
      <c r="F102" s="100" t="s">
        <v>59</v>
      </c>
      <c r="G102" s="101">
        <v>50</v>
      </c>
      <c r="H102" s="102">
        <v>33510</v>
      </c>
      <c r="I102" s="103">
        <v>5000</v>
      </c>
      <c r="J102" s="104">
        <v>4155</v>
      </c>
      <c r="Q102" s="26"/>
      <c r="R102" s="38"/>
      <c r="S102" s="39"/>
      <c r="T102" s="39"/>
      <c r="U102" s="39"/>
      <c r="W102" s="40"/>
    </row>
    <row r="103" spans="2:23">
      <c r="Q103" s="26"/>
      <c r="R103" s="38"/>
      <c r="S103" s="39"/>
      <c r="T103" s="39"/>
      <c r="U103" s="39"/>
      <c r="W103" s="40"/>
    </row>
    <row r="104" spans="2:23">
      <c r="Q104" s="26"/>
      <c r="R104" s="38"/>
      <c r="S104" s="39"/>
      <c r="T104" s="39"/>
      <c r="U104" s="39"/>
      <c r="W104" s="40"/>
    </row>
    <row r="105" spans="2:23" customFormat="1" ht="15"/>
    <row r="106" spans="2:23" customFormat="1" ht="15"/>
    <row r="107" spans="2:23" customFormat="1" ht="15"/>
    <row r="108" spans="2:23" customFormat="1" ht="15"/>
    <row r="109" spans="2:23" customFormat="1" ht="15"/>
    <row r="110" spans="2:23" customFormat="1" ht="15"/>
    <row r="111" spans="2:23">
      <c r="Q111" s="26"/>
      <c r="R111" s="38"/>
      <c r="S111" s="39"/>
      <c r="T111" s="39"/>
      <c r="U111" s="39"/>
      <c r="W111" s="40"/>
    </row>
    <row r="112" spans="2:23">
      <c r="Q112" s="26"/>
      <c r="R112" s="38"/>
      <c r="S112" s="39"/>
      <c r="T112" s="39"/>
      <c r="U112" s="39"/>
      <c r="W112" s="40"/>
    </row>
  </sheetData>
  <customSheetViews>
    <customSheetView guid="{32169818-EA48-4D2C-804F-10AFEFD0B9B2}" scale="115" showGridLines="0">
      <selection activeCell="G19" sqref="G19"/>
      <pageMargins left="0.75" right="0.75" top="1" bottom="1" header="0.5" footer="0.5"/>
      <printOptions headings="1" gridLines="1"/>
      <pageSetup scale="90" orientation="landscape" horizontalDpi="300" verticalDpi="300" r:id="rId1"/>
      <headerFooter alignWithMargins="0">
        <oddFooter>&amp;L&amp;A&amp;C&amp;BPragati Software Pvt. Ltd. Confidential&amp;B&amp;RPage &amp;P</oddFooter>
      </headerFooter>
    </customSheetView>
  </customSheetViews>
  <phoneticPr fontId="0" type="noConversion"/>
  <dataValidations disablePrompts="1" count="1">
    <dataValidation type="decimal" allowBlank="1" showInputMessage="1" showErrorMessage="1" errorTitle="error" error="please get yourself examined in the head_x000a__x000a_" sqref="G121" xr:uid="{00000000-0002-0000-0500-000000000000}">
      <formula1>43</formula1>
      <formula2>44</formula2>
    </dataValidation>
  </dataValidations>
  <printOptions headings="1" gridLines="1"/>
  <pageMargins left="0.75" right="0.75" top="1" bottom="1" header="0.5" footer="0.5"/>
  <pageSetup scale="90" orientation="landscape" horizontalDpi="300" verticalDpi="300" r:id="rId2"/>
  <headerFooter alignWithMargins="0">
    <oddFooter>&amp;L&amp;A&amp;C&amp;BPragati Software Pvt. Ltd. Confidential&amp;B&amp;RPage &amp;P</oddFooter>
  </headerFooter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P22"/>
  <sheetViews>
    <sheetView workbookViewId="0">
      <selection activeCell="J6" sqref="J6"/>
    </sheetView>
  </sheetViews>
  <sheetFormatPr defaultColWidth="9.28515625" defaultRowHeight="15"/>
  <cols>
    <col min="1" max="1" width="9.5703125" style="165" customWidth="1"/>
    <col min="2" max="2" width="11.7109375" style="165" customWidth="1"/>
    <col min="3" max="6" width="9.28515625" style="165"/>
    <col min="7" max="7" width="12.5703125" style="165" customWidth="1"/>
    <col min="8" max="8" width="9.28515625" style="165"/>
    <col min="9" max="9" width="11.7109375" style="165" customWidth="1"/>
    <col min="10" max="10" width="9.5703125" style="165" customWidth="1"/>
    <col min="11" max="40" width="9.28515625" style="165"/>
    <col min="41" max="41" width="9.5703125" style="165" customWidth="1"/>
    <col min="42" max="16384" width="9.28515625" style="165"/>
  </cols>
  <sheetData>
    <row r="1" spans="1:42">
      <c r="A1" s="162" t="s">
        <v>354</v>
      </c>
      <c r="B1" s="163"/>
      <c r="C1" s="163"/>
      <c r="D1" s="163"/>
      <c r="E1" s="163"/>
      <c r="F1" s="163"/>
      <c r="G1" s="164"/>
    </row>
    <row r="2" spans="1:42" ht="45">
      <c r="A2" s="166" t="s">
        <v>355</v>
      </c>
      <c r="B2" s="167"/>
      <c r="C2" s="167"/>
      <c r="D2" s="167"/>
      <c r="E2" s="167"/>
      <c r="F2" s="167"/>
      <c r="G2" s="168"/>
      <c r="I2"/>
      <c r="J2"/>
      <c r="K2"/>
      <c r="L2"/>
    </row>
    <row r="3" spans="1:42">
      <c r="I3"/>
      <c r="J3"/>
      <c r="K3"/>
      <c r="L3"/>
    </row>
    <row r="4" spans="1:42">
      <c r="A4" s="170" t="s">
        <v>356</v>
      </c>
      <c r="B4" s="170" t="s">
        <v>268</v>
      </c>
      <c r="C4" s="170" t="s">
        <v>357</v>
      </c>
      <c r="D4" s="170" t="s">
        <v>39</v>
      </c>
      <c r="E4" s="170" t="s">
        <v>358</v>
      </c>
      <c r="F4" s="170" t="s">
        <v>359</v>
      </c>
      <c r="G4" s="170" t="s">
        <v>71</v>
      </c>
      <c r="I4"/>
      <c r="J4"/>
      <c r="K4"/>
      <c r="L4"/>
      <c r="AN4" s="165">
        <v>10500</v>
      </c>
      <c r="AO4" s="169">
        <v>40688</v>
      </c>
      <c r="AP4" s="165" t="s">
        <v>360</v>
      </c>
    </row>
    <row r="5" spans="1:42">
      <c r="A5" s="171">
        <v>10500</v>
      </c>
      <c r="B5" s="172">
        <v>40688</v>
      </c>
      <c r="C5" s="171" t="s">
        <v>360</v>
      </c>
      <c r="D5" s="171" t="s">
        <v>361</v>
      </c>
      <c r="E5" s="173">
        <v>30</v>
      </c>
      <c r="F5" s="171">
        <v>25</v>
      </c>
      <c r="G5" s="174">
        <v>750</v>
      </c>
      <c r="I5"/>
      <c r="J5"/>
      <c r="K5"/>
      <c r="L5"/>
      <c r="AN5" s="165">
        <v>10501</v>
      </c>
      <c r="AO5" s="169">
        <v>40688</v>
      </c>
      <c r="AP5" s="165" t="s">
        <v>362</v>
      </c>
    </row>
    <row r="6" spans="1:42">
      <c r="A6" s="171">
        <v>10501</v>
      </c>
      <c r="B6" s="172">
        <v>40688</v>
      </c>
      <c r="C6" s="171" t="s">
        <v>362</v>
      </c>
      <c r="D6" s="171" t="s">
        <v>361</v>
      </c>
      <c r="E6" s="173">
        <v>30</v>
      </c>
      <c r="F6" s="171">
        <v>9</v>
      </c>
      <c r="G6" s="174">
        <v>270</v>
      </c>
      <c r="I6"/>
      <c r="J6"/>
      <c r="K6"/>
      <c r="L6"/>
      <c r="AN6" s="165">
        <v>10502</v>
      </c>
      <c r="AO6" s="169">
        <v>40690</v>
      </c>
      <c r="AP6" s="165" t="s">
        <v>362</v>
      </c>
    </row>
    <row r="7" spans="1:42">
      <c r="A7" s="171">
        <v>10501</v>
      </c>
      <c r="B7" s="172">
        <v>40689</v>
      </c>
      <c r="C7" s="171" t="s">
        <v>362</v>
      </c>
      <c r="D7" s="171" t="s">
        <v>363</v>
      </c>
      <c r="E7" s="173">
        <v>32</v>
      </c>
      <c r="F7" s="171">
        <v>21</v>
      </c>
      <c r="G7" s="174">
        <v>672</v>
      </c>
      <c r="I7"/>
      <c r="J7"/>
      <c r="K7"/>
      <c r="L7"/>
      <c r="AN7" s="165">
        <v>10503</v>
      </c>
      <c r="AO7" s="169">
        <v>40691</v>
      </c>
      <c r="AP7" s="165" t="s">
        <v>364</v>
      </c>
    </row>
    <row r="8" spans="1:42">
      <c r="A8" s="171">
        <v>10501</v>
      </c>
      <c r="B8" s="172">
        <v>40688</v>
      </c>
      <c r="C8" s="171" t="s">
        <v>362</v>
      </c>
      <c r="D8" s="171" t="s">
        <v>365</v>
      </c>
      <c r="E8" s="173">
        <v>22</v>
      </c>
      <c r="F8" s="171">
        <v>7</v>
      </c>
      <c r="G8" s="174">
        <v>154</v>
      </c>
      <c r="I8"/>
      <c r="J8"/>
      <c r="K8"/>
      <c r="L8"/>
      <c r="AN8" s="165">
        <v>10504</v>
      </c>
      <c r="AO8" s="169">
        <v>40691</v>
      </c>
      <c r="AP8" s="165" t="s">
        <v>362</v>
      </c>
    </row>
    <row r="9" spans="1:42">
      <c r="A9" s="171">
        <v>10501</v>
      </c>
      <c r="B9" s="172">
        <v>40688</v>
      </c>
      <c r="C9" s="171" t="s">
        <v>362</v>
      </c>
      <c r="D9" s="171" t="s">
        <v>366</v>
      </c>
      <c r="E9" s="173">
        <v>25</v>
      </c>
      <c r="F9" s="171">
        <v>11</v>
      </c>
      <c r="G9" s="174">
        <v>275</v>
      </c>
      <c r="I9"/>
      <c r="J9"/>
      <c r="K9"/>
      <c r="L9"/>
      <c r="AN9" s="165">
        <v>10505</v>
      </c>
      <c r="AO9" s="169">
        <v>40691</v>
      </c>
      <c r="AP9" s="165" t="s">
        <v>360</v>
      </c>
    </row>
    <row r="10" spans="1:42">
      <c r="A10" s="171">
        <v>10502</v>
      </c>
      <c r="B10" s="172">
        <v>40690</v>
      </c>
      <c r="C10" s="171" t="s">
        <v>362</v>
      </c>
      <c r="D10" s="171" t="s">
        <v>361</v>
      </c>
      <c r="E10" s="173">
        <v>30</v>
      </c>
      <c r="F10" s="171">
        <v>5</v>
      </c>
      <c r="G10" s="174">
        <v>150</v>
      </c>
      <c r="I10"/>
      <c r="J10"/>
      <c r="K10"/>
      <c r="L10"/>
    </row>
    <row r="11" spans="1:42">
      <c r="A11" s="171">
        <v>10502</v>
      </c>
      <c r="B11" s="172">
        <v>40690</v>
      </c>
      <c r="C11" s="171" t="s">
        <v>362</v>
      </c>
      <c r="D11" s="171" t="s">
        <v>366</v>
      </c>
      <c r="E11" s="173">
        <v>25</v>
      </c>
      <c r="F11" s="171">
        <v>25</v>
      </c>
      <c r="G11" s="174">
        <v>625</v>
      </c>
      <c r="I11"/>
      <c r="J11"/>
      <c r="K11"/>
      <c r="L11"/>
      <c r="AO11" s="165" t="s">
        <v>367</v>
      </c>
      <c r="AP11" s="176">
        <v>23</v>
      </c>
    </row>
    <row r="12" spans="1:42">
      <c r="A12" s="171">
        <v>10503</v>
      </c>
      <c r="B12" s="172">
        <v>40691</v>
      </c>
      <c r="C12" s="171" t="s">
        <v>364</v>
      </c>
      <c r="D12" s="171" t="s">
        <v>366</v>
      </c>
      <c r="E12" s="173">
        <v>25</v>
      </c>
      <c r="F12" s="171">
        <v>21</v>
      </c>
      <c r="G12" s="174">
        <v>525</v>
      </c>
      <c r="I12"/>
      <c r="J12"/>
      <c r="K12"/>
      <c r="L12"/>
      <c r="AO12" s="165" t="s">
        <v>366</v>
      </c>
      <c r="AP12" s="176">
        <v>25</v>
      </c>
    </row>
    <row r="13" spans="1:42">
      <c r="A13" s="171">
        <v>10503</v>
      </c>
      <c r="B13" s="172">
        <v>40691</v>
      </c>
      <c r="C13" s="171" t="s">
        <v>364</v>
      </c>
      <c r="D13" s="171" t="s">
        <v>365</v>
      </c>
      <c r="E13" s="173">
        <v>22</v>
      </c>
      <c r="F13" s="171">
        <v>16</v>
      </c>
      <c r="G13" s="174">
        <v>352</v>
      </c>
      <c r="I13"/>
      <c r="J13"/>
      <c r="K13"/>
      <c r="L13"/>
      <c r="AO13" s="165" t="s">
        <v>363</v>
      </c>
      <c r="AP13" s="176">
        <v>32</v>
      </c>
    </row>
    <row r="14" spans="1:42">
      <c r="A14" s="171">
        <v>10503</v>
      </c>
      <c r="B14" s="172">
        <v>40691</v>
      </c>
      <c r="C14" s="171" t="s">
        <v>364</v>
      </c>
      <c r="D14" s="171" t="s">
        <v>363</v>
      </c>
      <c r="E14" s="173">
        <v>32</v>
      </c>
      <c r="F14" s="171">
        <v>4</v>
      </c>
      <c r="G14" s="174">
        <v>128</v>
      </c>
      <c r="I14"/>
      <c r="J14"/>
      <c r="K14"/>
      <c r="L14"/>
      <c r="AO14" s="165" t="s">
        <v>361</v>
      </c>
      <c r="AP14" s="176">
        <v>30</v>
      </c>
    </row>
    <row r="15" spans="1:42">
      <c r="A15" s="171">
        <v>10503</v>
      </c>
      <c r="B15" s="172">
        <v>40691</v>
      </c>
      <c r="C15" s="171" t="s">
        <v>364</v>
      </c>
      <c r="D15" s="171" t="s">
        <v>361</v>
      </c>
      <c r="E15" s="173">
        <v>30</v>
      </c>
      <c r="F15" s="171">
        <v>18</v>
      </c>
      <c r="G15" s="174">
        <v>540</v>
      </c>
      <c r="AO15" s="165" t="s">
        <v>365</v>
      </c>
      <c r="AP15" s="176">
        <v>22</v>
      </c>
    </row>
    <row r="16" spans="1:42">
      <c r="A16" s="171">
        <v>10504</v>
      </c>
      <c r="B16" s="172">
        <v>40688</v>
      </c>
      <c r="C16" s="171" t="s">
        <v>362</v>
      </c>
      <c r="D16" s="171" t="s">
        <v>367</v>
      </c>
      <c r="E16" s="173">
        <v>23</v>
      </c>
      <c r="F16" s="171">
        <v>17</v>
      </c>
      <c r="G16" s="174">
        <v>391</v>
      </c>
    </row>
    <row r="17" spans="1:7">
      <c r="A17" s="171">
        <v>10504</v>
      </c>
      <c r="B17" s="172">
        <v>40691</v>
      </c>
      <c r="C17" s="171" t="s">
        <v>362</v>
      </c>
      <c r="D17" s="171" t="s">
        <v>363</v>
      </c>
      <c r="E17" s="173">
        <v>32</v>
      </c>
      <c r="F17" s="171">
        <v>8</v>
      </c>
      <c r="G17" s="174">
        <v>256</v>
      </c>
    </row>
    <row r="18" spans="1:7">
      <c r="A18" s="171">
        <v>10505</v>
      </c>
      <c r="B18" s="172">
        <v>40691</v>
      </c>
      <c r="C18" s="171" t="s">
        <v>360</v>
      </c>
      <c r="D18" s="171" t="s">
        <v>367</v>
      </c>
      <c r="E18" s="173">
        <v>23</v>
      </c>
      <c r="F18" s="171">
        <v>21</v>
      </c>
      <c r="G18" s="174">
        <v>483</v>
      </c>
    </row>
    <row r="19" spans="1:7">
      <c r="A19" s="171">
        <v>10505</v>
      </c>
      <c r="B19" s="172">
        <v>40691</v>
      </c>
      <c r="C19" s="171" t="s">
        <v>360</v>
      </c>
      <c r="D19" s="171" t="s">
        <v>366</v>
      </c>
      <c r="E19" s="173">
        <v>25</v>
      </c>
      <c r="F19" s="171">
        <v>8</v>
      </c>
      <c r="G19" s="174">
        <v>200</v>
      </c>
    </row>
    <row r="20" spans="1:7">
      <c r="A20" s="171">
        <v>10505</v>
      </c>
      <c r="B20" s="172">
        <v>40688</v>
      </c>
      <c r="C20" s="171" t="s">
        <v>360</v>
      </c>
      <c r="D20" s="171" t="s">
        <v>363</v>
      </c>
      <c r="E20" s="173">
        <v>32</v>
      </c>
      <c r="F20" s="171">
        <v>17</v>
      </c>
      <c r="G20" s="174">
        <v>544</v>
      </c>
    </row>
    <row r="21" spans="1:7">
      <c r="A21" s="171">
        <v>10505</v>
      </c>
      <c r="B21" s="172">
        <v>40691</v>
      </c>
      <c r="C21" s="171" t="s">
        <v>360</v>
      </c>
      <c r="D21" s="171" t="s">
        <v>361</v>
      </c>
      <c r="E21" s="173">
        <v>30</v>
      </c>
      <c r="F21" s="171">
        <v>12</v>
      </c>
      <c r="G21" s="174">
        <v>360</v>
      </c>
    </row>
    <row r="22" spans="1:7">
      <c r="A22" s="171">
        <v>10505</v>
      </c>
      <c r="B22" s="172">
        <v>40691</v>
      </c>
      <c r="C22" s="171" t="s">
        <v>360</v>
      </c>
      <c r="D22" s="171" t="s">
        <v>365</v>
      </c>
      <c r="E22" s="173">
        <v>22</v>
      </c>
      <c r="F22" s="171">
        <v>18</v>
      </c>
      <c r="G22" s="174">
        <v>396</v>
      </c>
    </row>
  </sheetData>
  <sheetProtection selectLockedCells="1"/>
  <protectedRanges>
    <protectedRange password="DBEB" sqref="G5:G22" name="Sales" securityDescriptor="O:WDG:WDD:(A;;CC;;;LA)"/>
  </protectedRange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289"/>
  <sheetViews>
    <sheetView showGridLines="0" zoomScale="115" zoomScaleNormal="115" workbookViewId="0">
      <selection activeCell="B3" sqref="B3"/>
    </sheetView>
  </sheetViews>
  <sheetFormatPr defaultColWidth="9.28515625" defaultRowHeight="12.75"/>
  <cols>
    <col min="1" max="1" width="12" style="1" customWidth="1"/>
    <col min="2" max="2" width="12.28515625" style="1" customWidth="1"/>
    <col min="3" max="3" width="12.42578125" style="1" customWidth="1"/>
    <col min="4" max="4" width="10.28515625" style="1" bestFit="1" customWidth="1"/>
    <col min="5" max="5" width="10.7109375" style="1" bestFit="1" customWidth="1"/>
    <col min="6" max="7" width="11" style="1" customWidth="1"/>
    <col min="8" max="8" width="9.42578125" style="1" customWidth="1"/>
    <col min="9" max="18" width="9.28515625" style="1"/>
    <col min="19" max="19" width="13.28515625" style="1" customWidth="1"/>
    <col min="20" max="16384" width="9.28515625" style="1"/>
  </cols>
  <sheetData>
    <row r="1" spans="1:19" ht="15">
      <c r="A1" s="195" t="s">
        <v>481</v>
      </c>
      <c r="B1" s="195" t="s">
        <v>39</v>
      </c>
      <c r="C1" s="195" t="s">
        <v>460</v>
      </c>
      <c r="D1" s="195" t="s">
        <v>282</v>
      </c>
      <c r="E1" s="195" t="s">
        <v>482</v>
      </c>
      <c r="F1" s="195" t="s">
        <v>238</v>
      </c>
      <c r="G1" s="195" t="s">
        <v>37</v>
      </c>
      <c r="H1"/>
    </row>
    <row r="2" spans="1:19" ht="15">
      <c r="A2" s="196">
        <v>1</v>
      </c>
      <c r="B2" s="196" t="s">
        <v>462</v>
      </c>
      <c r="C2" s="196" t="s">
        <v>463</v>
      </c>
      <c r="D2" s="196" t="s">
        <v>346</v>
      </c>
      <c r="E2" s="197">
        <v>41947</v>
      </c>
      <c r="F2" s="196">
        <v>16228</v>
      </c>
      <c r="G2" s="196">
        <v>17851</v>
      </c>
    </row>
    <row r="3" spans="1:19" ht="15">
      <c r="A3" s="196">
        <v>2</v>
      </c>
      <c r="B3" s="196" t="s">
        <v>464</v>
      </c>
      <c r="C3" s="196" t="s">
        <v>463</v>
      </c>
      <c r="D3" s="196" t="s">
        <v>348</v>
      </c>
      <c r="E3" s="197">
        <v>42310</v>
      </c>
      <c r="F3" s="196">
        <v>27252</v>
      </c>
      <c r="G3" s="196">
        <v>29977</v>
      </c>
    </row>
    <row r="4" spans="1:19" ht="15">
      <c r="A4" s="196">
        <v>3</v>
      </c>
      <c r="B4" s="196" t="s">
        <v>464</v>
      </c>
      <c r="C4" s="196" t="s">
        <v>465</v>
      </c>
      <c r="D4" s="196" t="s">
        <v>466</v>
      </c>
      <c r="E4" s="197">
        <v>42775</v>
      </c>
      <c r="F4" s="196">
        <v>19349</v>
      </c>
      <c r="G4" s="196">
        <v>21284</v>
      </c>
    </row>
    <row r="5" spans="1:19" ht="15">
      <c r="A5" s="196">
        <v>4</v>
      </c>
      <c r="B5" s="196" t="s">
        <v>467</v>
      </c>
      <c r="C5" s="196" t="s">
        <v>468</v>
      </c>
      <c r="D5" s="196" t="s">
        <v>344</v>
      </c>
      <c r="E5" s="197">
        <v>42312</v>
      </c>
      <c r="F5" s="196">
        <v>20537</v>
      </c>
      <c r="G5" s="196">
        <v>22591</v>
      </c>
    </row>
    <row r="6" spans="1:19" ht="15">
      <c r="A6" s="196">
        <v>5</v>
      </c>
      <c r="B6" s="196" t="s">
        <v>469</v>
      </c>
      <c r="C6" s="196" t="s">
        <v>470</v>
      </c>
      <c r="D6" s="196" t="s">
        <v>466</v>
      </c>
      <c r="E6" s="197">
        <v>42152</v>
      </c>
      <c r="F6" s="196">
        <v>28105</v>
      </c>
      <c r="G6" s="196">
        <v>30916</v>
      </c>
    </row>
    <row r="7" spans="1:19" ht="15">
      <c r="A7" s="196">
        <v>6</v>
      </c>
      <c r="B7" s="196" t="s">
        <v>469</v>
      </c>
      <c r="C7" s="196" t="s">
        <v>468</v>
      </c>
      <c r="D7" s="196" t="s">
        <v>344</v>
      </c>
      <c r="E7" s="197">
        <v>42259</v>
      </c>
      <c r="F7" s="196">
        <v>13927</v>
      </c>
      <c r="G7" s="196">
        <v>15320</v>
      </c>
    </row>
    <row r="8" spans="1:19" ht="15">
      <c r="A8" s="196">
        <v>7</v>
      </c>
      <c r="B8" s="196" t="s">
        <v>471</v>
      </c>
      <c r="C8" s="196" t="s">
        <v>463</v>
      </c>
      <c r="D8" s="196" t="s">
        <v>472</v>
      </c>
      <c r="E8" s="197">
        <v>42099</v>
      </c>
      <c r="F8" s="196">
        <v>5140</v>
      </c>
      <c r="G8" s="196">
        <v>5654</v>
      </c>
      <c r="M8" s="32"/>
      <c r="N8" s="32"/>
      <c r="O8" s="32"/>
      <c r="P8" s="32"/>
      <c r="Q8" s="32"/>
      <c r="R8" s="32"/>
      <c r="S8" s="32"/>
    </row>
    <row r="9" spans="1:19" ht="15">
      <c r="A9" s="196">
        <v>8</v>
      </c>
      <c r="B9" s="196" t="s">
        <v>473</v>
      </c>
      <c r="C9" s="196" t="s">
        <v>470</v>
      </c>
      <c r="D9" s="196" t="s">
        <v>348</v>
      </c>
      <c r="E9" s="197">
        <v>42353</v>
      </c>
      <c r="F9" s="196">
        <v>18819</v>
      </c>
      <c r="G9" s="196">
        <v>20701</v>
      </c>
      <c r="M9" s="26"/>
      <c r="N9" s="38"/>
      <c r="O9" s="39"/>
      <c r="P9" s="39"/>
      <c r="Q9" s="39"/>
      <c r="S9" s="40"/>
    </row>
    <row r="10" spans="1:19" ht="15">
      <c r="A10" s="196">
        <v>9</v>
      </c>
      <c r="B10" s="196" t="s">
        <v>469</v>
      </c>
      <c r="C10" s="196" t="s">
        <v>470</v>
      </c>
      <c r="D10" s="196" t="s">
        <v>348</v>
      </c>
      <c r="E10" s="197">
        <v>42506</v>
      </c>
      <c r="F10" s="196">
        <v>29774</v>
      </c>
      <c r="G10" s="196">
        <v>32751</v>
      </c>
      <c r="M10" s="26"/>
      <c r="N10" s="38"/>
      <c r="O10" s="39"/>
      <c r="P10" s="39"/>
      <c r="Q10" s="39"/>
      <c r="S10" s="40"/>
    </row>
    <row r="11" spans="1:19" ht="15">
      <c r="A11" s="196">
        <v>10</v>
      </c>
      <c r="B11" s="196" t="s">
        <v>467</v>
      </c>
      <c r="C11" s="196" t="s">
        <v>465</v>
      </c>
      <c r="D11" s="196" t="s">
        <v>474</v>
      </c>
      <c r="E11" s="197">
        <v>42202</v>
      </c>
      <c r="F11" s="196">
        <v>25399</v>
      </c>
      <c r="G11" s="196">
        <v>27939</v>
      </c>
      <c r="M11" s="26"/>
      <c r="N11" s="38"/>
      <c r="O11" s="39"/>
      <c r="P11" s="39"/>
      <c r="Q11" s="39"/>
      <c r="S11" s="40"/>
    </row>
    <row r="12" spans="1:19" ht="15">
      <c r="A12" s="196">
        <v>11</v>
      </c>
      <c r="B12" s="196" t="s">
        <v>471</v>
      </c>
      <c r="C12" s="196" t="s">
        <v>465</v>
      </c>
      <c r="D12" s="196" t="s">
        <v>474</v>
      </c>
      <c r="E12" s="197">
        <v>42119</v>
      </c>
      <c r="F12" s="196">
        <v>8513</v>
      </c>
      <c r="G12" s="196">
        <v>9364</v>
      </c>
      <c r="M12" s="26"/>
      <c r="N12" s="38"/>
      <c r="O12" s="39"/>
      <c r="P12" s="39"/>
      <c r="Q12" s="39"/>
      <c r="S12" s="40"/>
    </row>
    <row r="13" spans="1:19" ht="15">
      <c r="A13" s="196">
        <v>12</v>
      </c>
      <c r="B13" s="196" t="s">
        <v>464</v>
      </c>
      <c r="C13" s="196" t="s">
        <v>468</v>
      </c>
      <c r="D13" s="196" t="s">
        <v>344</v>
      </c>
      <c r="E13" s="197">
        <v>42839</v>
      </c>
      <c r="F13" s="196">
        <v>4010</v>
      </c>
      <c r="G13" s="196">
        <v>4411</v>
      </c>
      <c r="M13" s="26"/>
      <c r="N13" s="41"/>
      <c r="O13" s="39"/>
      <c r="P13" s="39"/>
      <c r="Q13" s="39"/>
      <c r="S13" s="40"/>
    </row>
    <row r="14" spans="1:19" ht="15">
      <c r="A14" s="196">
        <v>13</v>
      </c>
      <c r="B14" s="196" t="s">
        <v>473</v>
      </c>
      <c r="C14" s="196" t="s">
        <v>468</v>
      </c>
      <c r="D14" s="196" t="s">
        <v>475</v>
      </c>
      <c r="E14" s="197">
        <v>42658</v>
      </c>
      <c r="F14" s="196">
        <v>4088</v>
      </c>
      <c r="G14" s="196">
        <v>4497</v>
      </c>
      <c r="M14" s="26"/>
      <c r="N14" s="38"/>
      <c r="O14" s="39"/>
      <c r="P14" s="39"/>
      <c r="Q14" s="39"/>
      <c r="S14" s="40"/>
    </row>
    <row r="15" spans="1:19" ht="15">
      <c r="A15" s="196">
        <v>14</v>
      </c>
      <c r="B15" s="196" t="s">
        <v>464</v>
      </c>
      <c r="C15" s="196" t="s">
        <v>470</v>
      </c>
      <c r="D15" s="196" t="s">
        <v>339</v>
      </c>
      <c r="E15" s="197">
        <v>42003</v>
      </c>
      <c r="F15" s="196">
        <v>5909</v>
      </c>
      <c r="G15" s="196">
        <v>6500</v>
      </c>
      <c r="M15" s="26"/>
      <c r="N15" s="38"/>
      <c r="O15" s="39"/>
      <c r="P15" s="39"/>
      <c r="Q15" s="39"/>
      <c r="S15" s="40"/>
    </row>
    <row r="16" spans="1:19" ht="15">
      <c r="A16" s="196">
        <v>15</v>
      </c>
      <c r="B16" s="196" t="s">
        <v>467</v>
      </c>
      <c r="C16" s="196" t="s">
        <v>468</v>
      </c>
      <c r="D16" s="196" t="s">
        <v>476</v>
      </c>
      <c r="E16" s="197">
        <v>42648</v>
      </c>
      <c r="F16" s="196">
        <v>11633</v>
      </c>
      <c r="G16" s="196">
        <v>12796</v>
      </c>
      <c r="M16" s="26"/>
      <c r="N16" s="38"/>
      <c r="O16" s="39"/>
      <c r="P16" s="39"/>
      <c r="Q16" s="39"/>
      <c r="S16" s="40"/>
    </row>
    <row r="17" spans="1:19" ht="15">
      <c r="A17" s="196">
        <v>16</v>
      </c>
      <c r="B17" s="196" t="s">
        <v>464</v>
      </c>
      <c r="C17" s="196" t="s">
        <v>463</v>
      </c>
      <c r="D17" s="196" t="s">
        <v>346</v>
      </c>
      <c r="E17" s="197">
        <v>42357</v>
      </c>
      <c r="F17" s="196">
        <v>29578</v>
      </c>
      <c r="G17" s="196">
        <v>32536</v>
      </c>
      <c r="M17" s="26"/>
      <c r="N17" s="38"/>
      <c r="O17" s="39"/>
      <c r="P17" s="39"/>
      <c r="Q17" s="39"/>
      <c r="S17" s="40"/>
    </row>
    <row r="18" spans="1:19" ht="15">
      <c r="A18" s="196">
        <v>17</v>
      </c>
      <c r="B18" s="196" t="s">
        <v>467</v>
      </c>
      <c r="C18" s="196" t="s">
        <v>468</v>
      </c>
      <c r="D18" s="196" t="s">
        <v>475</v>
      </c>
      <c r="E18" s="197">
        <v>42457</v>
      </c>
      <c r="F18" s="196">
        <v>20032</v>
      </c>
      <c r="G18" s="196">
        <v>22035</v>
      </c>
      <c r="M18" s="26"/>
      <c r="N18" s="38"/>
      <c r="O18" s="39"/>
      <c r="P18" s="39"/>
      <c r="Q18" s="39"/>
      <c r="S18" s="40"/>
    </row>
    <row r="19" spans="1:19" ht="15">
      <c r="A19" s="196">
        <v>18</v>
      </c>
      <c r="B19" s="196" t="s">
        <v>464</v>
      </c>
      <c r="C19" s="196" t="s">
        <v>463</v>
      </c>
      <c r="D19" s="196" t="s">
        <v>476</v>
      </c>
      <c r="E19" s="197">
        <v>42626</v>
      </c>
      <c r="F19" s="196">
        <v>2237</v>
      </c>
      <c r="G19" s="196">
        <v>2461</v>
      </c>
      <c r="M19" s="26"/>
      <c r="N19" s="38"/>
      <c r="O19" s="39"/>
      <c r="Q19" s="39"/>
      <c r="S19" s="40"/>
    </row>
    <row r="20" spans="1:19" ht="15">
      <c r="A20" s="196">
        <v>19</v>
      </c>
      <c r="B20" s="196" t="s">
        <v>467</v>
      </c>
      <c r="C20" s="196" t="s">
        <v>463</v>
      </c>
      <c r="D20" s="196" t="s">
        <v>346</v>
      </c>
      <c r="E20" s="197">
        <v>42113</v>
      </c>
      <c r="F20" s="196">
        <v>11685</v>
      </c>
      <c r="G20" s="196">
        <v>12854</v>
      </c>
      <c r="M20" s="26"/>
      <c r="N20" s="38"/>
      <c r="O20" s="39"/>
      <c r="P20" s="39"/>
      <c r="Q20" s="39"/>
      <c r="S20" s="40"/>
    </row>
    <row r="21" spans="1:19" ht="15">
      <c r="A21" s="196">
        <v>20</v>
      </c>
      <c r="B21" s="196" t="s">
        <v>469</v>
      </c>
      <c r="C21" s="196" t="s">
        <v>465</v>
      </c>
      <c r="D21" s="196" t="s">
        <v>474</v>
      </c>
      <c r="E21" s="197">
        <v>42876</v>
      </c>
      <c r="F21" s="196">
        <v>2337</v>
      </c>
      <c r="G21" s="196">
        <v>2571</v>
      </c>
      <c r="M21" s="26"/>
      <c r="N21" s="38"/>
      <c r="O21" s="39"/>
      <c r="P21" s="39"/>
      <c r="Q21" s="39"/>
      <c r="S21" s="40"/>
    </row>
    <row r="22" spans="1:19" ht="15">
      <c r="A22" s="196">
        <v>21</v>
      </c>
      <c r="B22" s="196" t="s">
        <v>471</v>
      </c>
      <c r="C22" s="196" t="s">
        <v>468</v>
      </c>
      <c r="D22" s="196" t="s">
        <v>474</v>
      </c>
      <c r="E22" s="197">
        <v>42645</v>
      </c>
      <c r="F22" s="196">
        <v>16653</v>
      </c>
      <c r="G22" s="196">
        <v>18318</v>
      </c>
      <c r="M22" s="26"/>
      <c r="N22" s="38"/>
      <c r="O22" s="39"/>
      <c r="P22" s="39"/>
      <c r="Q22" s="39"/>
      <c r="S22" s="40"/>
    </row>
    <row r="23" spans="1:19" ht="15">
      <c r="A23" s="196">
        <v>22</v>
      </c>
      <c r="B23" s="196" t="s">
        <v>469</v>
      </c>
      <c r="C23" s="196" t="s">
        <v>463</v>
      </c>
      <c r="D23" s="196" t="s">
        <v>466</v>
      </c>
      <c r="E23" s="197">
        <v>42610</v>
      </c>
      <c r="F23" s="196">
        <v>2715</v>
      </c>
      <c r="G23" s="196">
        <v>2987</v>
      </c>
      <c r="M23" s="26"/>
      <c r="N23" s="38"/>
      <c r="O23" s="39"/>
      <c r="P23" s="39"/>
      <c r="Q23" s="39"/>
      <c r="S23" s="40"/>
    </row>
    <row r="24" spans="1:19" ht="15">
      <c r="A24" s="196">
        <v>23</v>
      </c>
      <c r="B24" s="196" t="s">
        <v>464</v>
      </c>
      <c r="C24" s="196" t="s">
        <v>465</v>
      </c>
      <c r="D24" s="196" t="s">
        <v>350</v>
      </c>
      <c r="E24" s="197">
        <v>42805</v>
      </c>
      <c r="F24" s="196">
        <v>25914</v>
      </c>
      <c r="G24" s="196">
        <v>28505</v>
      </c>
      <c r="M24" s="26"/>
      <c r="N24" s="38"/>
      <c r="O24" s="39"/>
      <c r="P24" s="39"/>
      <c r="Q24" s="39"/>
      <c r="S24" s="40"/>
    </row>
    <row r="25" spans="1:19" ht="15">
      <c r="A25" s="196">
        <v>24</v>
      </c>
      <c r="B25" s="196" t="s">
        <v>471</v>
      </c>
      <c r="C25" s="196" t="s">
        <v>468</v>
      </c>
      <c r="D25" s="196" t="s">
        <v>472</v>
      </c>
      <c r="E25" s="197">
        <v>42480</v>
      </c>
      <c r="F25" s="196">
        <v>1801</v>
      </c>
      <c r="G25" s="196">
        <v>1981</v>
      </c>
      <c r="M25" s="26"/>
      <c r="N25" s="38"/>
      <c r="O25" s="39"/>
      <c r="P25" s="39"/>
      <c r="Q25" s="39"/>
      <c r="S25" s="40"/>
    </row>
    <row r="26" spans="1:19" ht="15">
      <c r="A26" s="196">
        <v>25</v>
      </c>
      <c r="B26" s="196" t="s">
        <v>464</v>
      </c>
      <c r="C26" s="196" t="s">
        <v>465</v>
      </c>
      <c r="D26" s="196" t="s">
        <v>475</v>
      </c>
      <c r="E26" s="197">
        <v>42822</v>
      </c>
      <c r="F26" s="196">
        <v>18599</v>
      </c>
      <c r="G26" s="196">
        <v>20459</v>
      </c>
      <c r="M26" s="26"/>
      <c r="N26" s="38"/>
      <c r="O26" s="39"/>
      <c r="P26" s="39"/>
      <c r="Q26" s="39"/>
      <c r="S26" s="40"/>
    </row>
    <row r="27" spans="1:19" ht="15">
      <c r="A27" s="196">
        <v>26</v>
      </c>
      <c r="B27" s="196" t="s">
        <v>464</v>
      </c>
      <c r="C27" s="196" t="s">
        <v>468</v>
      </c>
      <c r="D27" s="196" t="s">
        <v>477</v>
      </c>
      <c r="E27" s="197">
        <v>41940</v>
      </c>
      <c r="F27" s="196">
        <v>16937</v>
      </c>
      <c r="G27" s="196">
        <v>18631</v>
      </c>
      <c r="M27" s="26"/>
      <c r="N27" s="38"/>
      <c r="O27" s="39"/>
      <c r="P27" s="39"/>
      <c r="Q27" s="39"/>
      <c r="S27" s="40"/>
    </row>
    <row r="28" spans="1:19" ht="15">
      <c r="A28" s="196">
        <v>27</v>
      </c>
      <c r="B28" s="196" t="s">
        <v>467</v>
      </c>
      <c r="C28" s="196" t="s">
        <v>465</v>
      </c>
      <c r="D28" s="196" t="s">
        <v>478</v>
      </c>
      <c r="E28" s="197">
        <v>42405</v>
      </c>
      <c r="F28" s="196">
        <v>26837</v>
      </c>
      <c r="G28" s="196">
        <v>29521</v>
      </c>
      <c r="M28" s="26"/>
      <c r="N28" s="38"/>
      <c r="O28" s="39"/>
      <c r="P28" s="39"/>
      <c r="Q28" s="39"/>
      <c r="S28" s="40"/>
    </row>
    <row r="29" spans="1:19" ht="15">
      <c r="A29" s="196">
        <v>28</v>
      </c>
      <c r="B29" s="196" t="s">
        <v>469</v>
      </c>
      <c r="C29" s="196" t="s">
        <v>465</v>
      </c>
      <c r="D29" s="196" t="s">
        <v>475</v>
      </c>
      <c r="E29" s="197">
        <v>42045</v>
      </c>
      <c r="F29" s="196">
        <v>9655</v>
      </c>
      <c r="G29" s="196">
        <v>10621</v>
      </c>
      <c r="M29" s="26"/>
      <c r="N29" s="38"/>
      <c r="O29" s="39"/>
      <c r="P29" s="39"/>
      <c r="Q29" s="39"/>
      <c r="S29" s="40"/>
    </row>
    <row r="30" spans="1:19" ht="15">
      <c r="A30" s="196">
        <v>29</v>
      </c>
      <c r="B30" s="196" t="s">
        <v>462</v>
      </c>
      <c r="C30" s="196" t="s">
        <v>468</v>
      </c>
      <c r="D30" s="196" t="s">
        <v>475</v>
      </c>
      <c r="E30" s="197">
        <v>42632</v>
      </c>
      <c r="F30" s="196">
        <v>12681</v>
      </c>
      <c r="G30" s="196">
        <v>13949</v>
      </c>
      <c r="M30" s="26"/>
      <c r="N30" s="38"/>
      <c r="O30" s="39"/>
      <c r="P30" s="39"/>
      <c r="Q30" s="39"/>
      <c r="S30" s="40"/>
    </row>
    <row r="31" spans="1:19" ht="15">
      <c r="A31" s="196">
        <v>30</v>
      </c>
      <c r="B31" s="196" t="s">
        <v>464</v>
      </c>
      <c r="C31" s="196" t="s">
        <v>470</v>
      </c>
      <c r="D31" s="196" t="s">
        <v>339</v>
      </c>
      <c r="E31" s="197">
        <v>42239</v>
      </c>
      <c r="F31" s="196">
        <v>19718</v>
      </c>
      <c r="G31" s="196">
        <v>21690</v>
      </c>
      <c r="M31" s="26"/>
      <c r="N31" s="38"/>
      <c r="O31" s="39"/>
      <c r="P31" s="39"/>
      <c r="Q31" s="39"/>
      <c r="S31" s="40"/>
    </row>
    <row r="32" spans="1:19" ht="15">
      <c r="A32" s="196">
        <v>31</v>
      </c>
      <c r="B32" s="196" t="s">
        <v>469</v>
      </c>
      <c r="C32" s="196" t="s">
        <v>468</v>
      </c>
      <c r="D32" s="196" t="s">
        <v>476</v>
      </c>
      <c r="E32" s="197">
        <v>42324</v>
      </c>
      <c r="F32" s="196">
        <v>6117</v>
      </c>
      <c r="G32" s="196">
        <v>6729</v>
      </c>
      <c r="M32" s="26"/>
      <c r="N32" s="38"/>
      <c r="O32" s="39"/>
      <c r="P32" s="39"/>
      <c r="Q32" s="39"/>
      <c r="S32" s="40"/>
    </row>
    <row r="33" spans="1:19" ht="15">
      <c r="A33" s="196">
        <v>32</v>
      </c>
      <c r="B33" s="196" t="s">
        <v>473</v>
      </c>
      <c r="C33" s="196" t="s">
        <v>465</v>
      </c>
      <c r="D33" s="196" t="s">
        <v>479</v>
      </c>
      <c r="E33" s="197">
        <v>42844</v>
      </c>
      <c r="F33" s="196">
        <v>6398</v>
      </c>
      <c r="G33" s="196">
        <v>7038</v>
      </c>
      <c r="M33" s="26"/>
      <c r="N33" s="38"/>
      <c r="O33" s="39"/>
      <c r="P33" s="39"/>
      <c r="Q33" s="39"/>
      <c r="S33" s="40"/>
    </row>
    <row r="34" spans="1:19" ht="15">
      <c r="A34" s="196">
        <v>33</v>
      </c>
      <c r="B34" s="196" t="s">
        <v>464</v>
      </c>
      <c r="C34" s="196" t="s">
        <v>470</v>
      </c>
      <c r="D34" s="196" t="s">
        <v>348</v>
      </c>
      <c r="E34" s="197">
        <v>42451</v>
      </c>
      <c r="F34" s="196">
        <v>15118</v>
      </c>
      <c r="G34" s="196">
        <v>16630</v>
      </c>
      <c r="M34" s="26"/>
      <c r="N34" s="38"/>
      <c r="O34" s="39"/>
      <c r="P34" s="39"/>
      <c r="Q34" s="39"/>
      <c r="S34" s="40"/>
    </row>
    <row r="35" spans="1:19" ht="15">
      <c r="A35" s="196">
        <v>34</v>
      </c>
      <c r="B35" s="196" t="s">
        <v>462</v>
      </c>
      <c r="C35" s="196" t="s">
        <v>470</v>
      </c>
      <c r="D35" s="196" t="s">
        <v>344</v>
      </c>
      <c r="E35" s="197">
        <v>42591</v>
      </c>
      <c r="F35" s="196">
        <v>9449</v>
      </c>
      <c r="G35" s="196">
        <v>10394</v>
      </c>
      <c r="M35" s="26"/>
      <c r="N35" s="38"/>
      <c r="O35" s="39"/>
      <c r="P35" s="39"/>
      <c r="Q35" s="39"/>
      <c r="S35" s="40"/>
    </row>
    <row r="36" spans="1:19" ht="15">
      <c r="A36" s="196">
        <v>35</v>
      </c>
      <c r="B36" s="196" t="s">
        <v>464</v>
      </c>
      <c r="C36" s="196" t="s">
        <v>463</v>
      </c>
      <c r="D36" s="196" t="s">
        <v>466</v>
      </c>
      <c r="E36" s="197">
        <v>42869</v>
      </c>
      <c r="F36" s="196">
        <v>19181</v>
      </c>
      <c r="G36" s="196">
        <v>21099</v>
      </c>
      <c r="M36" s="26"/>
      <c r="N36" s="38"/>
      <c r="O36" s="39"/>
      <c r="P36" s="39"/>
      <c r="Q36" s="39"/>
      <c r="S36" s="40"/>
    </row>
    <row r="37" spans="1:19" ht="15">
      <c r="A37" s="196">
        <v>36</v>
      </c>
      <c r="B37" s="196" t="s">
        <v>467</v>
      </c>
      <c r="C37" s="196" t="s">
        <v>470</v>
      </c>
      <c r="D37" s="196" t="s">
        <v>348</v>
      </c>
      <c r="E37" s="197">
        <v>42207</v>
      </c>
      <c r="F37" s="196">
        <v>20903</v>
      </c>
      <c r="G37" s="196">
        <v>22993</v>
      </c>
      <c r="M37" s="26"/>
      <c r="N37" s="38"/>
      <c r="O37" s="39"/>
      <c r="P37" s="39"/>
      <c r="Q37" s="39"/>
      <c r="S37" s="40"/>
    </row>
    <row r="38" spans="1:19" ht="15">
      <c r="A38" s="196">
        <v>37</v>
      </c>
      <c r="B38" s="196" t="s">
        <v>467</v>
      </c>
      <c r="C38" s="196" t="s">
        <v>465</v>
      </c>
      <c r="D38" s="196" t="s">
        <v>479</v>
      </c>
      <c r="E38" s="197">
        <v>42486</v>
      </c>
      <c r="F38" s="196">
        <v>12607</v>
      </c>
      <c r="G38" s="196">
        <v>13868</v>
      </c>
      <c r="M38" s="26"/>
      <c r="N38" s="38"/>
      <c r="O38" s="39"/>
      <c r="P38" s="39"/>
      <c r="Q38" s="39"/>
      <c r="S38" s="40"/>
    </row>
    <row r="39" spans="1:19" ht="15">
      <c r="A39" s="196">
        <v>38</v>
      </c>
      <c r="B39" s="196" t="s">
        <v>464</v>
      </c>
      <c r="C39" s="196" t="s">
        <v>465</v>
      </c>
      <c r="D39" s="196" t="s">
        <v>474</v>
      </c>
      <c r="E39" s="197">
        <v>41964</v>
      </c>
      <c r="F39" s="196">
        <v>29402</v>
      </c>
      <c r="G39" s="196">
        <v>32342</v>
      </c>
      <c r="M39" s="26"/>
      <c r="N39" s="38"/>
      <c r="O39" s="39"/>
      <c r="P39" s="39"/>
      <c r="Q39" s="39"/>
      <c r="S39" s="40"/>
    </row>
    <row r="40" spans="1:19" ht="15">
      <c r="A40" s="196">
        <v>39</v>
      </c>
      <c r="B40" s="196" t="s">
        <v>471</v>
      </c>
      <c r="C40" s="196" t="s">
        <v>463</v>
      </c>
      <c r="D40" s="196" t="s">
        <v>466</v>
      </c>
      <c r="E40" s="197">
        <v>42226</v>
      </c>
      <c r="F40" s="196">
        <v>16966</v>
      </c>
      <c r="G40" s="196">
        <v>18663</v>
      </c>
      <c r="M40" s="26"/>
      <c r="N40" s="38"/>
      <c r="O40" s="39"/>
      <c r="Q40" s="39"/>
      <c r="S40" s="40"/>
    </row>
    <row r="41" spans="1:19" ht="15">
      <c r="A41" s="196">
        <v>40</v>
      </c>
      <c r="B41" s="196" t="s">
        <v>464</v>
      </c>
      <c r="C41" s="196" t="s">
        <v>470</v>
      </c>
      <c r="D41" s="196" t="s">
        <v>344</v>
      </c>
      <c r="E41" s="197">
        <v>42455</v>
      </c>
      <c r="F41" s="196">
        <v>15216</v>
      </c>
      <c r="G41" s="196">
        <v>16738</v>
      </c>
      <c r="M41" s="26"/>
      <c r="N41" s="38"/>
      <c r="O41" s="39"/>
      <c r="P41" s="39"/>
      <c r="Q41" s="39"/>
      <c r="S41" s="40"/>
    </row>
    <row r="42" spans="1:19" ht="15">
      <c r="A42" s="196">
        <v>41</v>
      </c>
      <c r="B42" s="196" t="s">
        <v>469</v>
      </c>
      <c r="C42" s="196" t="s">
        <v>463</v>
      </c>
      <c r="D42" s="196" t="s">
        <v>477</v>
      </c>
      <c r="E42" s="197">
        <v>42505</v>
      </c>
      <c r="F42" s="196">
        <v>1137</v>
      </c>
      <c r="G42" s="196">
        <v>1251</v>
      </c>
      <c r="M42" s="26"/>
      <c r="N42" s="38"/>
      <c r="O42" s="39"/>
      <c r="P42" s="39"/>
      <c r="Q42" s="39"/>
      <c r="S42" s="40"/>
    </row>
    <row r="43" spans="1:19" ht="15">
      <c r="A43" s="196">
        <v>42</v>
      </c>
      <c r="B43" s="196" t="s">
        <v>473</v>
      </c>
      <c r="C43" s="196" t="s">
        <v>465</v>
      </c>
      <c r="D43" s="196" t="s">
        <v>477</v>
      </c>
      <c r="E43" s="197">
        <v>42201</v>
      </c>
      <c r="F43" s="196">
        <v>1701</v>
      </c>
      <c r="G43" s="196">
        <v>1871</v>
      </c>
      <c r="M43" s="26"/>
      <c r="N43" s="38"/>
      <c r="O43" s="39"/>
      <c r="P43" s="39"/>
      <c r="Q43" s="39"/>
      <c r="S43" s="40"/>
    </row>
    <row r="44" spans="1:19" ht="15">
      <c r="A44" s="196">
        <v>43</v>
      </c>
      <c r="B44" s="196" t="s">
        <v>462</v>
      </c>
      <c r="C44" s="196" t="s">
        <v>465</v>
      </c>
      <c r="D44" s="196" t="s">
        <v>479</v>
      </c>
      <c r="E44" s="197">
        <v>41977</v>
      </c>
      <c r="F44" s="196">
        <v>14359</v>
      </c>
      <c r="G44" s="196">
        <v>15795</v>
      </c>
      <c r="M44" s="26"/>
      <c r="N44" s="38"/>
      <c r="O44" s="39"/>
      <c r="P44" s="39"/>
      <c r="Q44" s="39"/>
      <c r="S44" s="40"/>
    </row>
    <row r="45" spans="1:19" ht="15">
      <c r="A45" s="196">
        <v>44</v>
      </c>
      <c r="B45" s="196" t="s">
        <v>473</v>
      </c>
      <c r="C45" s="196" t="s">
        <v>470</v>
      </c>
      <c r="D45" s="196" t="s">
        <v>480</v>
      </c>
      <c r="E45" s="197">
        <v>41913</v>
      </c>
      <c r="F45" s="196">
        <v>232</v>
      </c>
      <c r="G45" s="196">
        <v>255</v>
      </c>
      <c r="M45" s="26"/>
      <c r="N45" s="38"/>
      <c r="O45" s="39"/>
      <c r="P45" s="39"/>
      <c r="Q45" s="39"/>
      <c r="S45" s="40"/>
    </row>
    <row r="46" spans="1:19" ht="15">
      <c r="A46" s="196">
        <v>45</v>
      </c>
      <c r="B46" s="196" t="s">
        <v>473</v>
      </c>
      <c r="C46" s="196" t="s">
        <v>468</v>
      </c>
      <c r="D46" s="196" t="s">
        <v>476</v>
      </c>
      <c r="E46" s="197">
        <v>42046</v>
      </c>
      <c r="F46" s="196">
        <v>17808</v>
      </c>
      <c r="G46" s="196">
        <v>19589</v>
      </c>
      <c r="M46" s="26"/>
      <c r="N46" s="38"/>
      <c r="O46" s="39"/>
      <c r="P46" s="39"/>
      <c r="Q46" s="39"/>
      <c r="S46" s="40"/>
    </row>
    <row r="47" spans="1:19" ht="15">
      <c r="A47" s="196">
        <v>46</v>
      </c>
      <c r="B47" s="196" t="s">
        <v>469</v>
      </c>
      <c r="C47" s="196" t="s">
        <v>463</v>
      </c>
      <c r="D47" s="196" t="s">
        <v>348</v>
      </c>
      <c r="E47" s="197">
        <v>42827</v>
      </c>
      <c r="F47" s="196">
        <v>4714</v>
      </c>
      <c r="G47" s="196">
        <v>5185</v>
      </c>
      <c r="M47" s="26"/>
      <c r="N47" s="38"/>
      <c r="O47" s="39"/>
      <c r="P47" s="39"/>
      <c r="Q47" s="39"/>
      <c r="S47" s="40"/>
    </row>
    <row r="48" spans="1:19" ht="15">
      <c r="A48" s="196">
        <v>47</v>
      </c>
      <c r="B48" s="196" t="s">
        <v>473</v>
      </c>
      <c r="C48" s="196" t="s">
        <v>463</v>
      </c>
      <c r="D48" s="196" t="s">
        <v>466</v>
      </c>
      <c r="E48" s="197">
        <v>41899</v>
      </c>
      <c r="F48" s="196">
        <v>16966</v>
      </c>
      <c r="G48" s="196">
        <v>18663</v>
      </c>
      <c r="M48" s="26"/>
      <c r="N48" s="38"/>
      <c r="O48" s="39"/>
      <c r="P48" s="39"/>
      <c r="Q48" s="39"/>
      <c r="S48" s="40"/>
    </row>
    <row r="49" spans="1:19" ht="15">
      <c r="A49" s="196">
        <v>48</v>
      </c>
      <c r="B49" s="196" t="s">
        <v>462</v>
      </c>
      <c r="C49" s="196" t="s">
        <v>468</v>
      </c>
      <c r="D49" s="196" t="s">
        <v>476</v>
      </c>
      <c r="E49" s="197">
        <v>42526</v>
      </c>
      <c r="F49" s="196">
        <v>14283</v>
      </c>
      <c r="G49" s="196">
        <v>15711</v>
      </c>
      <c r="M49" s="26"/>
      <c r="N49" s="38"/>
      <c r="O49" s="39"/>
      <c r="P49" s="39"/>
      <c r="Q49" s="39"/>
      <c r="S49" s="40"/>
    </row>
    <row r="50" spans="1:19" ht="15">
      <c r="A50" s="196">
        <v>49</v>
      </c>
      <c r="B50" s="196" t="s">
        <v>471</v>
      </c>
      <c r="C50" s="196" t="s">
        <v>463</v>
      </c>
      <c r="D50" s="196" t="s">
        <v>474</v>
      </c>
      <c r="E50" s="197">
        <v>42711</v>
      </c>
      <c r="F50" s="196">
        <v>1225</v>
      </c>
      <c r="G50" s="196">
        <v>1348</v>
      </c>
      <c r="M50" s="26"/>
      <c r="N50" s="38"/>
      <c r="O50" s="39"/>
      <c r="P50" s="39"/>
      <c r="Q50" s="39"/>
      <c r="S50" s="40"/>
    </row>
    <row r="51" spans="1:19" ht="15">
      <c r="A51" s="196">
        <v>50</v>
      </c>
      <c r="B51" s="196" t="s">
        <v>469</v>
      </c>
      <c r="C51" s="196" t="s">
        <v>468</v>
      </c>
      <c r="D51" s="196" t="s">
        <v>346</v>
      </c>
      <c r="E51" s="197">
        <v>42576</v>
      </c>
      <c r="F51" s="196">
        <v>11185</v>
      </c>
      <c r="G51" s="196">
        <v>12304</v>
      </c>
      <c r="M51" s="26"/>
      <c r="N51" s="38"/>
      <c r="O51" s="39"/>
      <c r="P51" s="39"/>
      <c r="Q51" s="39"/>
      <c r="S51" s="40"/>
    </row>
    <row r="52" spans="1:19" ht="15">
      <c r="A52" s="196">
        <v>51</v>
      </c>
      <c r="B52" s="196" t="s">
        <v>473</v>
      </c>
      <c r="C52" s="196" t="s">
        <v>465</v>
      </c>
      <c r="D52" s="196" t="s">
        <v>344</v>
      </c>
      <c r="E52" s="197">
        <v>42739</v>
      </c>
      <c r="F52" s="196">
        <v>18473</v>
      </c>
      <c r="G52" s="196">
        <v>20320</v>
      </c>
      <c r="M52" s="26"/>
      <c r="N52" s="38"/>
      <c r="O52" s="39"/>
      <c r="P52" s="39"/>
      <c r="Q52" s="39"/>
      <c r="S52" s="40"/>
    </row>
    <row r="53" spans="1:19" ht="15">
      <c r="A53" s="196">
        <v>52</v>
      </c>
      <c r="B53" s="196" t="s">
        <v>464</v>
      </c>
      <c r="C53" s="196" t="s">
        <v>463</v>
      </c>
      <c r="D53" s="196" t="s">
        <v>472</v>
      </c>
      <c r="E53" s="197">
        <v>42376</v>
      </c>
      <c r="F53" s="196">
        <v>22813</v>
      </c>
      <c r="G53" s="196">
        <v>25094</v>
      </c>
      <c r="M53" s="26"/>
      <c r="N53" s="38"/>
      <c r="O53" s="39"/>
      <c r="P53" s="39"/>
      <c r="Q53" s="39"/>
      <c r="S53" s="40"/>
    </row>
    <row r="54" spans="1:19" ht="15">
      <c r="A54" s="196">
        <v>53</v>
      </c>
      <c r="B54" s="196" t="s">
        <v>462</v>
      </c>
      <c r="C54" s="196" t="s">
        <v>470</v>
      </c>
      <c r="D54" s="196" t="s">
        <v>474</v>
      </c>
      <c r="E54" s="197">
        <v>42628</v>
      </c>
      <c r="F54" s="196">
        <v>24008</v>
      </c>
      <c r="G54" s="196">
        <v>26409</v>
      </c>
      <c r="M54" s="26"/>
      <c r="N54" s="38"/>
      <c r="O54" s="39"/>
      <c r="P54" s="39"/>
      <c r="Q54" s="39"/>
      <c r="S54" s="40"/>
    </row>
    <row r="55" spans="1:19" ht="15">
      <c r="A55" s="196">
        <v>54</v>
      </c>
      <c r="B55" s="196" t="s">
        <v>471</v>
      </c>
      <c r="C55" s="196" t="s">
        <v>465</v>
      </c>
      <c r="D55" s="196" t="s">
        <v>475</v>
      </c>
      <c r="E55" s="197">
        <v>41902</v>
      </c>
      <c r="F55" s="196">
        <v>11884</v>
      </c>
      <c r="G55" s="196">
        <v>13072</v>
      </c>
      <c r="M55" s="26"/>
      <c r="N55" s="38"/>
      <c r="O55" s="39"/>
      <c r="P55" s="39"/>
      <c r="Q55" s="39"/>
      <c r="S55" s="40"/>
    </row>
    <row r="56" spans="1:19" ht="15">
      <c r="A56" s="196">
        <v>55</v>
      </c>
      <c r="B56" s="196" t="s">
        <v>471</v>
      </c>
      <c r="C56" s="196" t="s">
        <v>470</v>
      </c>
      <c r="D56" s="196" t="s">
        <v>480</v>
      </c>
      <c r="E56" s="197">
        <v>42330</v>
      </c>
      <c r="F56" s="196">
        <v>232</v>
      </c>
      <c r="G56" s="196">
        <v>255</v>
      </c>
      <c r="M56" s="26"/>
      <c r="N56" s="38"/>
      <c r="O56" s="39"/>
      <c r="P56" s="39"/>
      <c r="Q56" s="39"/>
      <c r="S56" s="40"/>
    </row>
    <row r="57" spans="1:19" ht="15">
      <c r="A57" s="196">
        <v>56</v>
      </c>
      <c r="B57" s="196" t="s">
        <v>469</v>
      </c>
      <c r="C57" s="196" t="s">
        <v>468</v>
      </c>
      <c r="D57" s="196" t="s">
        <v>475</v>
      </c>
      <c r="E57" s="197">
        <v>42493</v>
      </c>
      <c r="F57" s="196">
        <v>24906</v>
      </c>
      <c r="G57" s="196">
        <v>27397</v>
      </c>
      <c r="M57" s="26"/>
      <c r="N57" s="38"/>
      <c r="O57" s="39"/>
      <c r="P57" s="39"/>
      <c r="Q57" s="39"/>
      <c r="S57" s="40"/>
    </row>
    <row r="58" spans="1:19" ht="15">
      <c r="A58" s="196">
        <v>57</v>
      </c>
      <c r="B58" s="196" t="s">
        <v>471</v>
      </c>
      <c r="C58" s="196" t="s">
        <v>468</v>
      </c>
      <c r="D58" s="196" t="s">
        <v>480</v>
      </c>
      <c r="E58" s="197">
        <v>42315</v>
      </c>
      <c r="F58" s="196">
        <v>8043</v>
      </c>
      <c r="G58" s="196">
        <v>8847</v>
      </c>
      <c r="M58" s="26"/>
      <c r="N58" s="38"/>
      <c r="O58" s="39"/>
      <c r="P58" s="39"/>
      <c r="Q58" s="39"/>
      <c r="S58" s="40"/>
    </row>
    <row r="59" spans="1:19" ht="15">
      <c r="A59" s="196">
        <v>58</v>
      </c>
      <c r="B59" s="196" t="s">
        <v>473</v>
      </c>
      <c r="C59" s="196" t="s">
        <v>463</v>
      </c>
      <c r="D59" s="196" t="s">
        <v>344</v>
      </c>
      <c r="E59" s="197">
        <v>42327</v>
      </c>
      <c r="F59" s="196">
        <v>5326</v>
      </c>
      <c r="G59" s="196">
        <v>5859</v>
      </c>
      <c r="M59" s="26"/>
      <c r="N59" s="38"/>
      <c r="O59" s="39"/>
      <c r="P59" s="39"/>
      <c r="Q59" s="39"/>
      <c r="S59" s="40"/>
    </row>
    <row r="60" spans="1:19" ht="15">
      <c r="A60" s="196">
        <v>59</v>
      </c>
      <c r="B60" s="196" t="s">
        <v>471</v>
      </c>
      <c r="C60" s="196" t="s">
        <v>465</v>
      </c>
      <c r="D60" s="196" t="s">
        <v>479</v>
      </c>
      <c r="E60" s="197">
        <v>42153</v>
      </c>
      <c r="F60" s="196">
        <v>6398</v>
      </c>
      <c r="G60" s="196">
        <v>7038</v>
      </c>
      <c r="M60" s="26"/>
      <c r="N60" s="38"/>
      <c r="O60" s="39"/>
      <c r="P60" s="39"/>
      <c r="Q60" s="39"/>
      <c r="S60" s="40"/>
    </row>
    <row r="61" spans="1:19" ht="15">
      <c r="A61" s="196">
        <v>60</v>
      </c>
      <c r="B61" s="196" t="s">
        <v>467</v>
      </c>
      <c r="C61" s="196" t="s">
        <v>470</v>
      </c>
      <c r="D61" s="196" t="s">
        <v>339</v>
      </c>
      <c r="E61" s="197">
        <v>42188</v>
      </c>
      <c r="F61" s="196">
        <v>26292</v>
      </c>
      <c r="G61" s="196">
        <v>28921</v>
      </c>
      <c r="M61" s="26"/>
      <c r="N61" s="38"/>
      <c r="O61" s="39"/>
      <c r="P61" s="39"/>
      <c r="Q61" s="39"/>
      <c r="S61" s="40"/>
    </row>
    <row r="62" spans="1:19" ht="15">
      <c r="A62" s="196">
        <v>61</v>
      </c>
      <c r="B62" s="196" t="s">
        <v>469</v>
      </c>
      <c r="C62" s="196" t="s">
        <v>463</v>
      </c>
      <c r="D62" s="196" t="s">
        <v>346</v>
      </c>
      <c r="E62" s="197">
        <v>42148</v>
      </c>
      <c r="F62" s="196">
        <v>27419</v>
      </c>
      <c r="G62" s="196">
        <v>30161</v>
      </c>
      <c r="M62" s="26"/>
      <c r="N62" s="38"/>
      <c r="O62" s="39"/>
      <c r="P62" s="39"/>
      <c r="Q62" s="39"/>
      <c r="S62" s="40"/>
    </row>
    <row r="63" spans="1:19" ht="15">
      <c r="A63" s="196">
        <v>62</v>
      </c>
      <c r="B63" s="196" t="s">
        <v>467</v>
      </c>
      <c r="C63" s="196" t="s">
        <v>468</v>
      </c>
      <c r="D63" s="196" t="s">
        <v>479</v>
      </c>
      <c r="E63" s="197">
        <v>42718</v>
      </c>
      <c r="F63" s="196">
        <v>22078</v>
      </c>
      <c r="G63" s="196">
        <v>24286</v>
      </c>
      <c r="M63" s="26"/>
      <c r="N63" s="38"/>
      <c r="O63" s="39"/>
      <c r="P63" s="39"/>
      <c r="Q63" s="39"/>
      <c r="S63" s="40"/>
    </row>
    <row r="64" spans="1:19" ht="15">
      <c r="A64" s="196">
        <v>63</v>
      </c>
      <c r="B64" s="196" t="s">
        <v>462</v>
      </c>
      <c r="C64" s="196" t="s">
        <v>465</v>
      </c>
      <c r="D64" s="196" t="s">
        <v>477</v>
      </c>
      <c r="E64" s="197">
        <v>42154</v>
      </c>
      <c r="F64" s="196">
        <v>10349</v>
      </c>
      <c r="G64" s="196">
        <v>11384</v>
      </c>
      <c r="M64" s="26"/>
      <c r="N64" s="38"/>
      <c r="O64" s="39"/>
      <c r="P64" s="39"/>
      <c r="Q64" s="39"/>
      <c r="S64" s="40"/>
    </row>
    <row r="65" spans="1:19" ht="15">
      <c r="A65" s="196">
        <v>64</v>
      </c>
      <c r="B65" s="196" t="s">
        <v>467</v>
      </c>
      <c r="C65" s="196" t="s">
        <v>465</v>
      </c>
      <c r="D65" s="196" t="s">
        <v>479</v>
      </c>
      <c r="E65" s="197">
        <v>42897</v>
      </c>
      <c r="F65" s="196">
        <v>2920</v>
      </c>
      <c r="G65" s="196">
        <v>3212</v>
      </c>
      <c r="M65" s="26"/>
      <c r="N65" s="38"/>
      <c r="O65" s="39"/>
      <c r="P65" s="39"/>
      <c r="Q65" s="39"/>
      <c r="S65" s="40"/>
    </row>
    <row r="66" spans="1:19" ht="15">
      <c r="A66" s="196">
        <v>65</v>
      </c>
      <c r="B66" s="196" t="s">
        <v>469</v>
      </c>
      <c r="C66" s="196" t="s">
        <v>463</v>
      </c>
      <c r="D66" s="196" t="s">
        <v>476</v>
      </c>
      <c r="E66" s="197">
        <v>42620</v>
      </c>
      <c r="F66" s="196">
        <v>22939</v>
      </c>
      <c r="G66" s="196">
        <v>25233</v>
      </c>
      <c r="M66" s="26"/>
      <c r="N66" s="38"/>
      <c r="O66" s="39"/>
      <c r="P66" s="39"/>
      <c r="Q66" s="39"/>
      <c r="S66" s="40"/>
    </row>
    <row r="67" spans="1:19" ht="15">
      <c r="A67" s="196">
        <v>66</v>
      </c>
      <c r="B67" s="196" t="s">
        <v>469</v>
      </c>
      <c r="C67" s="196" t="s">
        <v>463</v>
      </c>
      <c r="D67" s="196" t="s">
        <v>474</v>
      </c>
      <c r="E67" s="197">
        <v>42874</v>
      </c>
      <c r="F67" s="196">
        <v>5494</v>
      </c>
      <c r="G67" s="196">
        <v>6043</v>
      </c>
      <c r="M67" s="26"/>
      <c r="N67" s="38"/>
      <c r="O67" s="39"/>
      <c r="Q67" s="39"/>
      <c r="S67" s="40"/>
    </row>
    <row r="68" spans="1:19" ht="15">
      <c r="A68" s="196">
        <v>67</v>
      </c>
      <c r="B68" s="196" t="s">
        <v>471</v>
      </c>
      <c r="C68" s="196" t="s">
        <v>463</v>
      </c>
      <c r="D68" s="196" t="s">
        <v>346</v>
      </c>
      <c r="E68" s="197">
        <v>42076</v>
      </c>
      <c r="F68" s="196">
        <v>11105</v>
      </c>
      <c r="G68" s="196">
        <v>12216</v>
      </c>
      <c r="M68" s="26"/>
      <c r="N68" s="38"/>
      <c r="O68" s="39"/>
      <c r="P68" s="39"/>
      <c r="Q68" s="39"/>
      <c r="S68" s="40"/>
    </row>
    <row r="69" spans="1:19" ht="15">
      <c r="A69" s="196">
        <v>68</v>
      </c>
      <c r="B69" s="196" t="s">
        <v>464</v>
      </c>
      <c r="C69" s="196" t="s">
        <v>463</v>
      </c>
      <c r="D69" s="196" t="s">
        <v>475</v>
      </c>
      <c r="E69" s="197">
        <v>42833</v>
      </c>
      <c r="F69" s="196">
        <v>7140</v>
      </c>
      <c r="G69" s="196">
        <v>7854</v>
      </c>
      <c r="M69" s="26"/>
      <c r="N69" s="38"/>
      <c r="O69" s="39"/>
      <c r="P69" s="39"/>
      <c r="Q69" s="39"/>
      <c r="S69" s="40"/>
    </row>
    <row r="70" spans="1:19" ht="15">
      <c r="A70" s="196">
        <v>69</v>
      </c>
      <c r="B70" s="196" t="s">
        <v>469</v>
      </c>
      <c r="C70" s="196" t="s">
        <v>463</v>
      </c>
      <c r="D70" s="196" t="s">
        <v>472</v>
      </c>
      <c r="E70" s="197">
        <v>42442</v>
      </c>
      <c r="F70" s="196">
        <v>22611</v>
      </c>
      <c r="G70" s="196">
        <v>24872</v>
      </c>
      <c r="M70" s="26"/>
      <c r="N70" s="38"/>
      <c r="O70" s="39"/>
      <c r="Q70" s="39"/>
      <c r="S70" s="40"/>
    </row>
    <row r="71" spans="1:19" ht="15">
      <c r="A71" s="196">
        <v>70</v>
      </c>
      <c r="B71" s="196" t="s">
        <v>473</v>
      </c>
      <c r="C71" s="196" t="s">
        <v>465</v>
      </c>
      <c r="D71" s="196" t="s">
        <v>479</v>
      </c>
      <c r="E71" s="197">
        <v>42260</v>
      </c>
      <c r="F71" s="196">
        <v>4474</v>
      </c>
      <c r="G71" s="196">
        <v>4921</v>
      </c>
      <c r="M71" s="26"/>
      <c r="N71" s="38"/>
      <c r="O71" s="39"/>
      <c r="P71" s="39"/>
      <c r="Q71" s="39"/>
      <c r="S71" s="40"/>
    </row>
    <row r="72" spans="1:19" ht="15">
      <c r="A72" s="196">
        <v>71</v>
      </c>
      <c r="B72" s="196" t="s">
        <v>467</v>
      </c>
      <c r="C72" s="196" t="s">
        <v>470</v>
      </c>
      <c r="D72" s="196" t="s">
        <v>339</v>
      </c>
      <c r="E72" s="197">
        <v>42514</v>
      </c>
      <c r="F72" s="196">
        <v>16592</v>
      </c>
      <c r="G72" s="196">
        <v>18251</v>
      </c>
      <c r="M72" s="26"/>
      <c r="N72" s="38"/>
      <c r="O72" s="39"/>
      <c r="P72" s="39"/>
      <c r="Q72" s="39"/>
      <c r="S72" s="40"/>
    </row>
    <row r="73" spans="1:19" ht="15">
      <c r="A73" s="196">
        <v>72</v>
      </c>
      <c r="B73" s="196" t="s">
        <v>462</v>
      </c>
      <c r="C73" s="196" t="s">
        <v>470</v>
      </c>
      <c r="D73" s="196" t="s">
        <v>339</v>
      </c>
      <c r="E73" s="197">
        <v>42092</v>
      </c>
      <c r="F73" s="196">
        <v>12306</v>
      </c>
      <c r="G73" s="196">
        <v>13537</v>
      </c>
      <c r="M73" s="26"/>
      <c r="N73" s="38"/>
      <c r="O73" s="39"/>
      <c r="P73" s="39"/>
      <c r="Q73" s="39"/>
      <c r="S73" s="40"/>
    </row>
    <row r="74" spans="1:19" ht="15">
      <c r="A74" s="196">
        <v>73</v>
      </c>
      <c r="B74" s="196" t="s">
        <v>473</v>
      </c>
      <c r="C74" s="196" t="s">
        <v>463</v>
      </c>
      <c r="D74" s="196" t="s">
        <v>477</v>
      </c>
      <c r="E74" s="197">
        <v>41914</v>
      </c>
      <c r="F74" s="196">
        <v>14751</v>
      </c>
      <c r="G74" s="196">
        <v>16226</v>
      </c>
      <c r="M74" s="26"/>
      <c r="N74" s="38"/>
      <c r="O74" s="39"/>
      <c r="P74" s="39"/>
      <c r="Q74" s="39"/>
      <c r="S74" s="40"/>
    </row>
    <row r="75" spans="1:19" ht="15">
      <c r="A75" s="196">
        <v>74</v>
      </c>
      <c r="B75" s="196" t="s">
        <v>462</v>
      </c>
      <c r="C75" s="196" t="s">
        <v>468</v>
      </c>
      <c r="D75" s="196" t="s">
        <v>480</v>
      </c>
      <c r="E75" s="197">
        <v>42224</v>
      </c>
      <c r="F75" s="196">
        <v>8074</v>
      </c>
      <c r="G75" s="196">
        <v>8881</v>
      </c>
      <c r="M75" s="26"/>
      <c r="N75" s="38"/>
      <c r="O75" s="39"/>
      <c r="P75" s="39"/>
      <c r="Q75" s="39"/>
      <c r="S75" s="40"/>
    </row>
    <row r="76" spans="1:19" ht="15">
      <c r="A76" s="196">
        <v>75</v>
      </c>
      <c r="B76" s="196" t="s">
        <v>462</v>
      </c>
      <c r="C76" s="196" t="s">
        <v>463</v>
      </c>
      <c r="D76" s="196" t="s">
        <v>339</v>
      </c>
      <c r="E76" s="197">
        <v>42511</v>
      </c>
      <c r="F76" s="196">
        <v>8607</v>
      </c>
      <c r="G76" s="196">
        <v>9468</v>
      </c>
      <c r="M76" s="26"/>
      <c r="N76" s="38"/>
      <c r="O76" s="39"/>
      <c r="P76" s="39"/>
      <c r="Q76" s="39"/>
      <c r="S76" s="40"/>
    </row>
    <row r="77" spans="1:19" ht="15">
      <c r="A77" s="196">
        <v>76</v>
      </c>
      <c r="B77" s="196" t="s">
        <v>473</v>
      </c>
      <c r="C77" s="196" t="s">
        <v>468</v>
      </c>
      <c r="D77" s="196" t="s">
        <v>480</v>
      </c>
      <c r="E77" s="197">
        <v>42211</v>
      </c>
      <c r="F77" s="196">
        <v>3982</v>
      </c>
      <c r="G77" s="196">
        <v>4380</v>
      </c>
      <c r="M77" s="26"/>
      <c r="N77" s="38"/>
      <c r="O77" s="39"/>
      <c r="P77" s="39"/>
      <c r="Q77" s="39"/>
      <c r="S77" s="40"/>
    </row>
    <row r="78" spans="1:19" ht="15">
      <c r="A78" s="196">
        <v>77</v>
      </c>
      <c r="B78" s="196" t="s">
        <v>467</v>
      </c>
      <c r="C78" s="196" t="s">
        <v>463</v>
      </c>
      <c r="D78" s="196" t="s">
        <v>476</v>
      </c>
      <c r="E78" s="197">
        <v>42492</v>
      </c>
      <c r="F78" s="196">
        <v>29841</v>
      </c>
      <c r="G78" s="196">
        <v>32825</v>
      </c>
      <c r="M78" s="26"/>
      <c r="N78" s="38"/>
      <c r="O78" s="39"/>
      <c r="P78" s="39"/>
      <c r="Q78" s="39"/>
      <c r="S78" s="40"/>
    </row>
    <row r="79" spans="1:19" ht="15">
      <c r="A79" s="196">
        <v>78</v>
      </c>
      <c r="B79" s="196" t="s">
        <v>467</v>
      </c>
      <c r="C79" s="196" t="s">
        <v>470</v>
      </c>
      <c r="D79" s="196" t="s">
        <v>346</v>
      </c>
      <c r="E79" s="197">
        <v>42096</v>
      </c>
      <c r="F79" s="196">
        <v>8685</v>
      </c>
      <c r="G79" s="196">
        <v>9554</v>
      </c>
      <c r="M79" s="26"/>
      <c r="N79" s="38"/>
      <c r="O79" s="39"/>
      <c r="P79" s="39"/>
      <c r="Q79" s="39"/>
      <c r="S79" s="40"/>
    </row>
    <row r="80" spans="1:19" ht="15">
      <c r="A80" s="196">
        <v>79</v>
      </c>
      <c r="B80" s="196" t="s">
        <v>471</v>
      </c>
      <c r="C80" s="196" t="s">
        <v>470</v>
      </c>
      <c r="D80" s="196" t="s">
        <v>348</v>
      </c>
      <c r="E80" s="197">
        <v>42175</v>
      </c>
      <c r="F80" s="196">
        <v>17294</v>
      </c>
      <c r="G80" s="196">
        <v>19023</v>
      </c>
      <c r="M80" s="26"/>
      <c r="N80" s="38"/>
      <c r="O80" s="39"/>
      <c r="P80" s="39"/>
      <c r="Q80" s="39"/>
      <c r="S80" s="40"/>
    </row>
    <row r="81" spans="1:19" ht="15">
      <c r="A81" s="196">
        <v>80</v>
      </c>
      <c r="B81" s="196" t="s">
        <v>464</v>
      </c>
      <c r="C81" s="196" t="s">
        <v>468</v>
      </c>
      <c r="D81" s="196" t="s">
        <v>472</v>
      </c>
      <c r="E81" s="197">
        <v>42000</v>
      </c>
      <c r="F81" s="196">
        <v>13589</v>
      </c>
      <c r="G81" s="196">
        <v>14948</v>
      </c>
      <c r="M81" s="26"/>
      <c r="N81" s="38"/>
      <c r="O81" s="39"/>
      <c r="P81" s="39"/>
      <c r="Q81" s="39"/>
      <c r="S81" s="40"/>
    </row>
    <row r="82" spans="1:19" ht="15">
      <c r="A82" s="196">
        <v>81</v>
      </c>
      <c r="B82" s="196" t="s">
        <v>471</v>
      </c>
      <c r="C82" s="196" t="s">
        <v>465</v>
      </c>
      <c r="D82" s="196" t="s">
        <v>475</v>
      </c>
      <c r="E82" s="197">
        <v>42788</v>
      </c>
      <c r="F82" s="196">
        <v>4958</v>
      </c>
      <c r="G82" s="196">
        <v>5454</v>
      </c>
      <c r="M82" s="26"/>
      <c r="N82" s="38"/>
      <c r="O82" s="39"/>
      <c r="P82" s="39"/>
      <c r="Q82" s="39"/>
      <c r="S82" s="40"/>
    </row>
    <row r="83" spans="1:19" ht="15">
      <c r="A83" s="196">
        <v>82</v>
      </c>
      <c r="B83" s="196" t="s">
        <v>467</v>
      </c>
      <c r="C83" s="196" t="s">
        <v>463</v>
      </c>
      <c r="D83" s="196" t="s">
        <v>476</v>
      </c>
      <c r="E83" s="197">
        <v>41962</v>
      </c>
      <c r="F83" s="196">
        <v>16166</v>
      </c>
      <c r="G83" s="196">
        <v>17783</v>
      </c>
      <c r="M83" s="26"/>
      <c r="N83" s="38"/>
      <c r="O83" s="39"/>
      <c r="P83" s="39"/>
      <c r="Q83" s="39"/>
      <c r="S83" s="40"/>
    </row>
    <row r="84" spans="1:19" ht="15">
      <c r="A84" s="196">
        <v>83</v>
      </c>
      <c r="B84" s="196" t="s">
        <v>473</v>
      </c>
      <c r="C84" s="196" t="s">
        <v>463</v>
      </c>
      <c r="D84" s="196" t="s">
        <v>472</v>
      </c>
      <c r="E84" s="197">
        <v>42695</v>
      </c>
      <c r="F84" s="196">
        <v>5140</v>
      </c>
      <c r="G84" s="196">
        <v>5654</v>
      </c>
      <c r="M84" s="26"/>
      <c r="N84" s="38"/>
      <c r="O84" s="39"/>
      <c r="P84" s="39"/>
      <c r="Q84" s="39"/>
      <c r="S84" s="40"/>
    </row>
    <row r="85" spans="1:19" ht="15">
      <c r="A85" s="196">
        <v>84</v>
      </c>
      <c r="B85" s="196" t="s">
        <v>464</v>
      </c>
      <c r="C85" s="196" t="s">
        <v>470</v>
      </c>
      <c r="D85" s="196" t="s">
        <v>466</v>
      </c>
      <c r="E85" s="197">
        <v>42752</v>
      </c>
      <c r="F85" s="196">
        <v>5715</v>
      </c>
      <c r="G85" s="196">
        <v>6287</v>
      </c>
      <c r="M85" s="26"/>
      <c r="N85" s="38"/>
      <c r="O85" s="39"/>
      <c r="P85" s="39"/>
      <c r="Q85" s="39"/>
      <c r="S85" s="40"/>
    </row>
    <row r="86" spans="1:19" ht="15">
      <c r="A86" s="196">
        <v>85</v>
      </c>
      <c r="B86" s="196" t="s">
        <v>462</v>
      </c>
      <c r="C86" s="196" t="s">
        <v>468</v>
      </c>
      <c r="D86" s="196" t="s">
        <v>472</v>
      </c>
      <c r="E86" s="197">
        <v>42728</v>
      </c>
      <c r="F86" s="196">
        <v>23609</v>
      </c>
      <c r="G86" s="196">
        <v>25970</v>
      </c>
      <c r="M86" s="26"/>
      <c r="N86" s="38"/>
      <c r="O86" s="39"/>
      <c r="P86" s="39"/>
      <c r="Q86" s="39"/>
      <c r="S86" s="40"/>
    </row>
    <row r="87" spans="1:19" ht="15">
      <c r="A87" s="196">
        <v>86</v>
      </c>
      <c r="B87" s="196" t="s">
        <v>462</v>
      </c>
      <c r="C87" s="196" t="s">
        <v>465</v>
      </c>
      <c r="D87" s="196" t="s">
        <v>350</v>
      </c>
      <c r="E87" s="197">
        <v>42218</v>
      </c>
      <c r="F87" s="196">
        <v>22843</v>
      </c>
      <c r="G87" s="196">
        <v>25127</v>
      </c>
      <c r="M87" s="26"/>
      <c r="N87" s="38"/>
      <c r="O87" s="39"/>
      <c r="P87" s="39"/>
      <c r="Q87" s="39"/>
      <c r="S87" s="40"/>
    </row>
    <row r="88" spans="1:19" ht="15">
      <c r="A88" s="196">
        <v>87</v>
      </c>
      <c r="B88" s="196" t="s">
        <v>462</v>
      </c>
      <c r="C88" s="196" t="s">
        <v>470</v>
      </c>
      <c r="D88" s="196" t="s">
        <v>339</v>
      </c>
      <c r="E88" s="197">
        <v>42693</v>
      </c>
      <c r="F88" s="196">
        <v>15959</v>
      </c>
      <c r="G88" s="196">
        <v>17555</v>
      </c>
      <c r="M88" s="26"/>
      <c r="N88" s="38"/>
      <c r="O88" s="39"/>
      <c r="P88" s="39"/>
      <c r="Q88" s="39"/>
      <c r="S88" s="40"/>
    </row>
    <row r="89" spans="1:19" ht="15">
      <c r="A89" s="196">
        <v>88</v>
      </c>
      <c r="B89" s="196" t="s">
        <v>469</v>
      </c>
      <c r="C89" s="196" t="s">
        <v>468</v>
      </c>
      <c r="D89" s="196" t="s">
        <v>472</v>
      </c>
      <c r="E89" s="197">
        <v>41970</v>
      </c>
      <c r="F89" s="196">
        <v>4428</v>
      </c>
      <c r="G89" s="196">
        <v>4871</v>
      </c>
      <c r="M89" s="26"/>
      <c r="N89" s="38"/>
      <c r="O89" s="39"/>
      <c r="P89" s="39"/>
      <c r="Q89" s="39"/>
      <c r="S89" s="40"/>
    </row>
    <row r="90" spans="1:19" ht="15">
      <c r="A90" s="196">
        <v>89</v>
      </c>
      <c r="B90" s="196" t="s">
        <v>467</v>
      </c>
      <c r="C90" s="196" t="s">
        <v>463</v>
      </c>
      <c r="D90" s="196" t="s">
        <v>477</v>
      </c>
      <c r="E90" s="197">
        <v>42398</v>
      </c>
      <c r="F90" s="196">
        <v>8875</v>
      </c>
      <c r="G90" s="196">
        <v>9763</v>
      </c>
      <c r="M90" s="26"/>
      <c r="N90" s="38"/>
      <c r="O90" s="39"/>
      <c r="P90" s="39"/>
      <c r="Q90" s="39"/>
      <c r="S90" s="40"/>
    </row>
    <row r="91" spans="1:19" ht="15">
      <c r="A91" s="196">
        <v>90</v>
      </c>
      <c r="B91" s="196" t="s">
        <v>469</v>
      </c>
      <c r="C91" s="196" t="s">
        <v>468</v>
      </c>
      <c r="D91" s="196" t="s">
        <v>477</v>
      </c>
      <c r="E91" s="197">
        <v>42632</v>
      </c>
      <c r="F91" s="196">
        <v>2030</v>
      </c>
      <c r="G91" s="196">
        <v>2233</v>
      </c>
      <c r="M91" s="26"/>
      <c r="N91" s="38"/>
      <c r="O91" s="39"/>
      <c r="P91" s="39"/>
      <c r="Q91" s="39"/>
      <c r="S91" s="40"/>
    </row>
    <row r="92" spans="1:19" ht="15">
      <c r="A92" s="196">
        <v>91</v>
      </c>
      <c r="B92" s="196" t="s">
        <v>471</v>
      </c>
      <c r="C92" s="196" t="s">
        <v>468</v>
      </c>
      <c r="D92" s="196" t="s">
        <v>476</v>
      </c>
      <c r="E92" s="197">
        <v>42879</v>
      </c>
      <c r="F92" s="196">
        <v>17808</v>
      </c>
      <c r="G92" s="196">
        <v>19589</v>
      </c>
      <c r="M92" s="26"/>
      <c r="N92" s="38"/>
      <c r="O92" s="39"/>
      <c r="P92" s="39"/>
      <c r="Q92" s="39"/>
      <c r="S92" s="40"/>
    </row>
    <row r="93" spans="1:19" ht="15">
      <c r="A93" s="196">
        <v>92</v>
      </c>
      <c r="B93" s="196" t="s">
        <v>473</v>
      </c>
      <c r="C93" s="196" t="s">
        <v>470</v>
      </c>
      <c r="D93" s="196" t="s">
        <v>346</v>
      </c>
      <c r="E93" s="197">
        <v>42716</v>
      </c>
      <c r="F93" s="196">
        <v>5000</v>
      </c>
      <c r="G93" s="196">
        <v>5500</v>
      </c>
      <c r="M93" s="26"/>
      <c r="N93" s="38"/>
      <c r="O93" s="39"/>
      <c r="P93" s="39"/>
      <c r="Q93" s="39"/>
      <c r="S93" s="40"/>
    </row>
    <row r="94" spans="1:19" ht="15">
      <c r="A94" s="196">
        <v>93</v>
      </c>
      <c r="B94" s="196" t="s">
        <v>467</v>
      </c>
      <c r="C94" s="196" t="s">
        <v>463</v>
      </c>
      <c r="D94" s="196" t="s">
        <v>339</v>
      </c>
      <c r="E94" s="197">
        <v>42079</v>
      </c>
      <c r="F94" s="196">
        <v>9493</v>
      </c>
      <c r="G94" s="196">
        <v>10442</v>
      </c>
      <c r="M94" s="26"/>
      <c r="N94" s="38"/>
      <c r="O94" s="39"/>
      <c r="P94" s="39"/>
      <c r="Q94" s="39"/>
      <c r="S94" s="40"/>
    </row>
    <row r="95" spans="1:19" ht="15">
      <c r="A95" s="196">
        <v>94</v>
      </c>
      <c r="B95" s="196" t="s">
        <v>471</v>
      </c>
      <c r="C95" s="196" t="s">
        <v>468</v>
      </c>
      <c r="D95" s="196" t="s">
        <v>475</v>
      </c>
      <c r="E95" s="197">
        <v>42635</v>
      </c>
      <c r="F95" s="196">
        <v>4088</v>
      </c>
      <c r="G95" s="196">
        <v>4497</v>
      </c>
      <c r="M95" s="26"/>
      <c r="N95" s="38"/>
      <c r="O95" s="39"/>
      <c r="P95" s="39"/>
      <c r="Q95" s="39"/>
      <c r="S95" s="40"/>
    </row>
    <row r="96" spans="1:19" ht="15">
      <c r="A96" s="196">
        <v>95</v>
      </c>
      <c r="B96" s="196" t="s">
        <v>467</v>
      </c>
      <c r="C96" s="196" t="s">
        <v>465</v>
      </c>
      <c r="D96" s="196" t="s">
        <v>350</v>
      </c>
      <c r="E96" s="197">
        <v>42764</v>
      </c>
      <c r="F96" s="196">
        <v>5362</v>
      </c>
      <c r="G96" s="196">
        <v>5898</v>
      </c>
      <c r="M96" s="26"/>
      <c r="N96" s="38"/>
      <c r="O96" s="39"/>
      <c r="Q96" s="39"/>
      <c r="S96" s="40"/>
    </row>
    <row r="97" spans="1:19" ht="15">
      <c r="A97" s="196">
        <v>96</v>
      </c>
      <c r="B97" s="196" t="s">
        <v>469</v>
      </c>
      <c r="C97" s="196" t="s">
        <v>470</v>
      </c>
      <c r="D97" s="196" t="s">
        <v>478</v>
      </c>
      <c r="E97" s="197">
        <v>42525</v>
      </c>
      <c r="F97" s="196">
        <v>22907</v>
      </c>
      <c r="G97" s="196">
        <v>25198</v>
      </c>
      <c r="M97" s="26"/>
      <c r="N97" s="38"/>
      <c r="O97" s="39"/>
      <c r="P97" s="39"/>
      <c r="Q97" s="39"/>
      <c r="S97" s="40"/>
    </row>
    <row r="98" spans="1:19" ht="15">
      <c r="A98" s="196">
        <v>97</v>
      </c>
      <c r="B98" s="196" t="s">
        <v>462</v>
      </c>
      <c r="C98" s="196" t="s">
        <v>463</v>
      </c>
      <c r="D98" s="196" t="s">
        <v>344</v>
      </c>
      <c r="E98" s="197">
        <v>42700</v>
      </c>
      <c r="F98" s="196">
        <v>10970</v>
      </c>
      <c r="G98" s="196">
        <v>12067</v>
      </c>
      <c r="M98" s="26"/>
      <c r="N98" s="38"/>
      <c r="O98" s="39"/>
      <c r="P98" s="39"/>
      <c r="Q98" s="39"/>
      <c r="S98" s="40"/>
    </row>
    <row r="99" spans="1:19" ht="15">
      <c r="A99" s="196">
        <v>98</v>
      </c>
      <c r="B99" s="196" t="s">
        <v>473</v>
      </c>
      <c r="C99" s="196" t="s">
        <v>470</v>
      </c>
      <c r="D99" s="196" t="s">
        <v>348</v>
      </c>
      <c r="E99" s="197">
        <v>42806</v>
      </c>
      <c r="F99" s="196">
        <v>17294</v>
      </c>
      <c r="G99" s="196">
        <v>19023</v>
      </c>
      <c r="M99" s="26"/>
      <c r="N99" s="38"/>
      <c r="O99" s="39"/>
      <c r="P99" s="39"/>
      <c r="Q99" s="39"/>
      <c r="S99" s="40"/>
    </row>
    <row r="100" spans="1:19" ht="15">
      <c r="A100" s="196">
        <v>99</v>
      </c>
      <c r="B100" s="196" t="s">
        <v>467</v>
      </c>
      <c r="C100" s="196" t="s">
        <v>465</v>
      </c>
      <c r="D100" s="196" t="s">
        <v>348</v>
      </c>
      <c r="E100" s="197">
        <v>42391</v>
      </c>
      <c r="F100" s="196">
        <v>17047</v>
      </c>
      <c r="G100" s="196">
        <v>18752</v>
      </c>
      <c r="M100" s="26"/>
      <c r="N100" s="38"/>
      <c r="O100" s="39"/>
      <c r="P100" s="39"/>
      <c r="Q100" s="39"/>
      <c r="S100" s="40"/>
    </row>
    <row r="101" spans="1:19" ht="15">
      <c r="A101" s="196">
        <v>100</v>
      </c>
      <c r="B101" s="196" t="s">
        <v>464</v>
      </c>
      <c r="C101" s="196" t="s">
        <v>463</v>
      </c>
      <c r="D101" s="196" t="s">
        <v>476</v>
      </c>
      <c r="E101" s="197">
        <v>42522</v>
      </c>
      <c r="F101" s="196">
        <v>21057</v>
      </c>
      <c r="G101" s="196">
        <v>23163</v>
      </c>
      <c r="M101" s="26"/>
      <c r="N101" s="38"/>
      <c r="O101" s="39"/>
      <c r="P101" s="39"/>
      <c r="Q101" s="39"/>
      <c r="S101" s="40"/>
    </row>
    <row r="102" spans="1:19" ht="15">
      <c r="A102" s="196">
        <v>101</v>
      </c>
      <c r="B102" s="196" t="s">
        <v>467</v>
      </c>
      <c r="C102" s="196" t="s">
        <v>465</v>
      </c>
      <c r="D102" s="196" t="s">
        <v>466</v>
      </c>
      <c r="E102" s="197">
        <v>42328</v>
      </c>
      <c r="F102" s="196">
        <v>15597</v>
      </c>
      <c r="G102" s="196">
        <v>17157</v>
      </c>
      <c r="H102" s="39"/>
      <c r="M102" s="26"/>
      <c r="N102" s="38"/>
      <c r="O102" s="39"/>
      <c r="P102" s="39"/>
      <c r="Q102" s="39"/>
      <c r="S102" s="40"/>
    </row>
    <row r="103" spans="1:19" ht="15">
      <c r="A103" s="196">
        <v>102</v>
      </c>
      <c r="B103" s="196" t="s">
        <v>469</v>
      </c>
      <c r="C103" s="196" t="s">
        <v>465</v>
      </c>
      <c r="D103" s="196" t="s">
        <v>478</v>
      </c>
      <c r="E103" s="197">
        <v>42680</v>
      </c>
      <c r="F103" s="196">
        <v>23428</v>
      </c>
      <c r="G103" s="196">
        <v>25771</v>
      </c>
      <c r="H103" s="39"/>
      <c r="M103" s="26"/>
      <c r="N103" s="38"/>
      <c r="O103" s="39"/>
      <c r="P103" s="39"/>
      <c r="Q103" s="39"/>
      <c r="S103" s="40"/>
    </row>
    <row r="104" spans="1:19" customFormat="1" ht="15">
      <c r="A104" s="196">
        <v>103</v>
      </c>
      <c r="B104" s="196" t="s">
        <v>473</v>
      </c>
      <c r="C104" s="196" t="s">
        <v>470</v>
      </c>
      <c r="D104" s="196" t="s">
        <v>350</v>
      </c>
      <c r="E104" s="197">
        <v>42673</v>
      </c>
      <c r="F104" s="196">
        <v>1855</v>
      </c>
      <c r="G104" s="196">
        <v>2041</v>
      </c>
    </row>
    <row r="105" spans="1:19" customFormat="1" ht="15">
      <c r="A105" s="196">
        <v>104</v>
      </c>
      <c r="B105" s="196" t="s">
        <v>473</v>
      </c>
      <c r="C105" s="196" t="s">
        <v>468</v>
      </c>
      <c r="D105" s="196" t="s">
        <v>472</v>
      </c>
      <c r="E105" s="197">
        <v>42414</v>
      </c>
      <c r="F105" s="196">
        <v>13587</v>
      </c>
      <c r="G105" s="196">
        <v>14946</v>
      </c>
    </row>
    <row r="106" spans="1:19" customFormat="1" ht="15">
      <c r="A106" s="196">
        <v>105</v>
      </c>
      <c r="B106" s="196" t="s">
        <v>473</v>
      </c>
      <c r="C106" s="196" t="s">
        <v>468</v>
      </c>
      <c r="D106" s="196" t="s">
        <v>480</v>
      </c>
      <c r="E106" s="197">
        <v>42619</v>
      </c>
      <c r="F106" s="196">
        <v>8043</v>
      </c>
      <c r="G106" s="196">
        <v>8847</v>
      </c>
    </row>
    <row r="107" spans="1:19" customFormat="1" ht="15">
      <c r="A107" s="196">
        <v>106</v>
      </c>
      <c r="B107" s="196" t="s">
        <v>469</v>
      </c>
      <c r="C107" s="196" t="s">
        <v>468</v>
      </c>
      <c r="D107" s="196" t="s">
        <v>474</v>
      </c>
      <c r="E107" s="197">
        <v>42442</v>
      </c>
      <c r="F107" s="196">
        <v>10920</v>
      </c>
      <c r="G107" s="196">
        <v>12012</v>
      </c>
    </row>
    <row r="108" spans="1:19" customFormat="1" ht="15">
      <c r="A108" s="196">
        <v>107</v>
      </c>
      <c r="B108" s="196" t="s">
        <v>471</v>
      </c>
      <c r="C108" s="196" t="s">
        <v>468</v>
      </c>
      <c r="D108" s="196" t="s">
        <v>346</v>
      </c>
      <c r="E108" s="197">
        <v>42565</v>
      </c>
      <c r="F108" s="196">
        <v>7782</v>
      </c>
      <c r="G108" s="196">
        <v>8560</v>
      </c>
    </row>
    <row r="109" spans="1:19" customFormat="1" ht="15">
      <c r="A109" s="196">
        <v>108</v>
      </c>
      <c r="B109" s="196" t="s">
        <v>473</v>
      </c>
      <c r="C109" s="196" t="s">
        <v>465</v>
      </c>
      <c r="D109" s="196" t="s">
        <v>350</v>
      </c>
      <c r="E109" s="197">
        <v>42280</v>
      </c>
      <c r="F109" s="196">
        <v>2757</v>
      </c>
      <c r="G109" s="196">
        <v>3033</v>
      </c>
    </row>
    <row r="110" spans="1:19" ht="15">
      <c r="A110" s="196">
        <v>109</v>
      </c>
      <c r="B110" s="196" t="s">
        <v>467</v>
      </c>
      <c r="C110" s="196" t="s">
        <v>468</v>
      </c>
      <c r="D110" s="196" t="s">
        <v>477</v>
      </c>
      <c r="E110" s="197">
        <v>42683</v>
      </c>
      <c r="F110" s="196">
        <v>12309</v>
      </c>
      <c r="G110" s="196">
        <v>13540</v>
      </c>
      <c r="H110" s="39"/>
      <c r="M110" s="26"/>
      <c r="N110" s="38"/>
      <c r="O110" s="39"/>
      <c r="P110" s="39"/>
      <c r="Q110" s="39"/>
      <c r="S110" s="40"/>
    </row>
    <row r="111" spans="1:19" ht="15">
      <c r="A111" s="196">
        <v>110</v>
      </c>
      <c r="B111" s="196" t="s">
        <v>464</v>
      </c>
      <c r="C111" s="196" t="s">
        <v>463</v>
      </c>
      <c r="D111" s="196" t="s">
        <v>474</v>
      </c>
      <c r="E111" s="197">
        <v>42578</v>
      </c>
      <c r="F111" s="196">
        <v>23804</v>
      </c>
      <c r="G111" s="196">
        <v>26184</v>
      </c>
      <c r="H111" s="39"/>
      <c r="M111" s="26"/>
      <c r="N111" s="38"/>
      <c r="O111" s="39"/>
      <c r="P111" s="39"/>
      <c r="Q111" s="39"/>
      <c r="S111" s="40"/>
    </row>
    <row r="112" spans="1:19" ht="15">
      <c r="A112" s="196">
        <v>111</v>
      </c>
      <c r="B112" s="196" t="s">
        <v>467</v>
      </c>
      <c r="C112" s="196" t="s">
        <v>465</v>
      </c>
      <c r="D112" s="196" t="s">
        <v>475</v>
      </c>
      <c r="E112" s="197">
        <v>42142</v>
      </c>
      <c r="F112" s="196">
        <v>17814</v>
      </c>
      <c r="G112" s="196">
        <v>19595</v>
      </c>
    </row>
    <row r="113" spans="1:7" ht="15">
      <c r="A113" s="196">
        <v>112</v>
      </c>
      <c r="B113" s="196" t="s">
        <v>473</v>
      </c>
      <c r="C113" s="196" t="s">
        <v>463</v>
      </c>
      <c r="D113" s="196" t="s">
        <v>474</v>
      </c>
      <c r="E113" s="197">
        <v>42638</v>
      </c>
      <c r="F113" s="196">
        <v>1225</v>
      </c>
      <c r="G113" s="196">
        <v>1348</v>
      </c>
    </row>
    <row r="114" spans="1:7" ht="15">
      <c r="A114" s="196">
        <v>113</v>
      </c>
      <c r="B114" s="196" t="s">
        <v>467</v>
      </c>
      <c r="C114" s="196" t="s">
        <v>468</v>
      </c>
      <c r="D114" s="196" t="s">
        <v>478</v>
      </c>
      <c r="E114" s="197">
        <v>41939</v>
      </c>
      <c r="F114" s="196">
        <v>24538</v>
      </c>
      <c r="G114" s="196">
        <v>26992</v>
      </c>
    </row>
    <row r="115" spans="1:7" ht="15">
      <c r="A115" s="196">
        <v>114</v>
      </c>
      <c r="B115" s="196" t="s">
        <v>471</v>
      </c>
      <c r="C115" s="196" t="s">
        <v>463</v>
      </c>
      <c r="D115" s="196" t="s">
        <v>339</v>
      </c>
      <c r="E115" s="197">
        <v>42406</v>
      </c>
      <c r="F115" s="196">
        <v>167</v>
      </c>
      <c r="G115" s="196">
        <v>184</v>
      </c>
    </row>
    <row r="116" spans="1:7" ht="15">
      <c r="A116" s="196">
        <v>115</v>
      </c>
      <c r="B116" s="196" t="s">
        <v>469</v>
      </c>
      <c r="C116" s="196" t="s">
        <v>463</v>
      </c>
      <c r="D116" s="196" t="s">
        <v>344</v>
      </c>
      <c r="E116" s="197">
        <v>42393</v>
      </c>
      <c r="F116" s="196">
        <v>7538</v>
      </c>
      <c r="G116" s="196">
        <v>8292</v>
      </c>
    </row>
    <row r="117" spans="1:7" ht="15">
      <c r="A117" s="196">
        <v>116</v>
      </c>
      <c r="B117" s="196" t="s">
        <v>473</v>
      </c>
      <c r="C117" s="196" t="s">
        <v>463</v>
      </c>
      <c r="D117" s="196" t="s">
        <v>476</v>
      </c>
      <c r="E117" s="197">
        <v>42352</v>
      </c>
      <c r="F117" s="196">
        <v>14383</v>
      </c>
      <c r="G117" s="196">
        <v>15821</v>
      </c>
    </row>
    <row r="118" spans="1:7" ht="15">
      <c r="A118" s="196">
        <v>117</v>
      </c>
      <c r="B118" s="196" t="s">
        <v>464</v>
      </c>
      <c r="C118" s="196" t="s">
        <v>465</v>
      </c>
      <c r="D118" s="196" t="s">
        <v>478</v>
      </c>
      <c r="E118" s="197">
        <v>42891</v>
      </c>
      <c r="F118" s="196">
        <v>13032</v>
      </c>
      <c r="G118" s="196">
        <v>14335</v>
      </c>
    </row>
    <row r="119" spans="1:7" ht="15">
      <c r="A119" s="196">
        <v>118</v>
      </c>
      <c r="B119" s="196" t="s">
        <v>471</v>
      </c>
      <c r="C119" s="196" t="s">
        <v>470</v>
      </c>
      <c r="D119" s="196" t="s">
        <v>339</v>
      </c>
      <c r="E119" s="197">
        <v>42092</v>
      </c>
      <c r="F119" s="196">
        <v>2713</v>
      </c>
      <c r="G119" s="196">
        <v>2984</v>
      </c>
    </row>
    <row r="120" spans="1:7" ht="15">
      <c r="A120" s="196">
        <v>119</v>
      </c>
      <c r="B120" s="196" t="s">
        <v>471</v>
      </c>
      <c r="C120" s="196" t="s">
        <v>470</v>
      </c>
      <c r="D120" s="196" t="s">
        <v>350</v>
      </c>
      <c r="E120" s="197">
        <v>42471</v>
      </c>
      <c r="F120" s="196">
        <v>1855</v>
      </c>
      <c r="G120" s="196">
        <v>2041</v>
      </c>
    </row>
    <row r="121" spans="1:7" ht="15">
      <c r="A121" s="196">
        <v>120</v>
      </c>
      <c r="B121" s="196" t="s">
        <v>473</v>
      </c>
      <c r="C121" s="196" t="s">
        <v>470</v>
      </c>
      <c r="D121" s="196" t="s">
        <v>339</v>
      </c>
      <c r="E121" s="197">
        <v>41982</v>
      </c>
      <c r="F121" s="196">
        <v>19449</v>
      </c>
      <c r="G121" s="196">
        <v>21394</v>
      </c>
    </row>
    <row r="122" spans="1:7" ht="15">
      <c r="A122" s="196">
        <v>121</v>
      </c>
      <c r="B122" s="196" t="s">
        <v>464</v>
      </c>
      <c r="C122" s="196" t="s">
        <v>465</v>
      </c>
      <c r="D122" s="196" t="s">
        <v>479</v>
      </c>
      <c r="E122" s="197">
        <v>41950</v>
      </c>
      <c r="F122" s="196">
        <v>15019</v>
      </c>
      <c r="G122" s="196">
        <v>16521</v>
      </c>
    </row>
    <row r="123" spans="1:7" ht="15">
      <c r="A123" s="196">
        <v>122</v>
      </c>
      <c r="B123" s="196" t="s">
        <v>464</v>
      </c>
      <c r="C123" s="196" t="s">
        <v>468</v>
      </c>
      <c r="D123" s="196" t="s">
        <v>478</v>
      </c>
      <c r="E123" s="197">
        <v>41916</v>
      </c>
      <c r="F123" s="196">
        <v>27634</v>
      </c>
      <c r="G123" s="196">
        <v>30397</v>
      </c>
    </row>
    <row r="124" spans="1:7" ht="15">
      <c r="A124" s="196">
        <v>123</v>
      </c>
      <c r="B124" s="196" t="s">
        <v>467</v>
      </c>
      <c r="C124" s="196" t="s">
        <v>468</v>
      </c>
      <c r="D124" s="196" t="s">
        <v>472</v>
      </c>
      <c r="E124" s="197">
        <v>41912</v>
      </c>
      <c r="F124" s="196">
        <v>17038</v>
      </c>
      <c r="G124" s="196">
        <v>18742</v>
      </c>
    </row>
    <row r="125" spans="1:7" ht="15">
      <c r="A125" s="196">
        <v>124</v>
      </c>
      <c r="B125" s="196" t="s">
        <v>469</v>
      </c>
      <c r="C125" s="196" t="s">
        <v>470</v>
      </c>
      <c r="D125" s="196" t="s">
        <v>474</v>
      </c>
      <c r="E125" s="197">
        <v>42380</v>
      </c>
      <c r="F125" s="196">
        <v>27874</v>
      </c>
      <c r="G125" s="196">
        <v>30661</v>
      </c>
    </row>
    <row r="126" spans="1:7" ht="15">
      <c r="A126" s="196">
        <v>125</v>
      </c>
      <c r="B126" s="196" t="s">
        <v>473</v>
      </c>
      <c r="C126" s="196" t="s">
        <v>468</v>
      </c>
      <c r="D126" s="196" t="s">
        <v>346</v>
      </c>
      <c r="E126" s="197">
        <v>42397</v>
      </c>
      <c r="F126" s="196">
        <v>7782</v>
      </c>
      <c r="G126" s="196">
        <v>8560</v>
      </c>
    </row>
    <row r="127" spans="1:7" ht="15">
      <c r="A127" s="196">
        <v>126</v>
      </c>
      <c r="B127" s="196" t="s">
        <v>464</v>
      </c>
      <c r="C127" s="196" t="s">
        <v>470</v>
      </c>
      <c r="D127" s="196" t="s">
        <v>346</v>
      </c>
      <c r="E127" s="197">
        <v>42505</v>
      </c>
      <c r="F127" s="196">
        <v>13295</v>
      </c>
      <c r="G127" s="196">
        <v>14625</v>
      </c>
    </row>
    <row r="128" spans="1:7" ht="15">
      <c r="A128" s="196">
        <v>127</v>
      </c>
      <c r="B128" s="196" t="s">
        <v>464</v>
      </c>
      <c r="C128" s="196" t="s">
        <v>468</v>
      </c>
      <c r="D128" s="196" t="s">
        <v>346</v>
      </c>
      <c r="E128" s="197">
        <v>42398</v>
      </c>
      <c r="F128" s="196">
        <v>25178</v>
      </c>
      <c r="G128" s="196">
        <v>27696</v>
      </c>
    </row>
    <row r="129" spans="1:7" ht="15">
      <c r="A129" s="196">
        <v>128</v>
      </c>
      <c r="B129" s="196" t="s">
        <v>462</v>
      </c>
      <c r="C129" s="196" t="s">
        <v>465</v>
      </c>
      <c r="D129" s="196" t="s">
        <v>348</v>
      </c>
      <c r="E129" s="197">
        <v>42789</v>
      </c>
      <c r="F129" s="196">
        <v>22175</v>
      </c>
      <c r="G129" s="196">
        <v>24393</v>
      </c>
    </row>
    <row r="130" spans="1:7" ht="15">
      <c r="A130" s="196">
        <v>129</v>
      </c>
      <c r="B130" s="196" t="s">
        <v>471</v>
      </c>
      <c r="C130" s="196" t="s">
        <v>463</v>
      </c>
      <c r="D130" s="196" t="s">
        <v>346</v>
      </c>
      <c r="E130" s="197">
        <v>42163</v>
      </c>
      <c r="F130" s="196">
        <v>1509</v>
      </c>
      <c r="G130" s="196">
        <v>1660</v>
      </c>
    </row>
    <row r="131" spans="1:7" ht="15">
      <c r="A131" s="196">
        <v>130</v>
      </c>
      <c r="B131" s="196" t="s">
        <v>462</v>
      </c>
      <c r="C131" s="196" t="s">
        <v>470</v>
      </c>
      <c r="D131" s="196" t="s">
        <v>346</v>
      </c>
      <c r="E131" s="197">
        <v>42773</v>
      </c>
      <c r="F131" s="196">
        <v>9664</v>
      </c>
      <c r="G131" s="196">
        <v>10630</v>
      </c>
    </row>
    <row r="132" spans="1:7" ht="15">
      <c r="A132" s="196">
        <v>131</v>
      </c>
      <c r="B132" s="196" t="s">
        <v>471</v>
      </c>
      <c r="C132" s="196" t="s">
        <v>465</v>
      </c>
      <c r="D132" s="196" t="s">
        <v>466</v>
      </c>
      <c r="E132" s="197">
        <v>42128</v>
      </c>
      <c r="F132" s="196">
        <v>582</v>
      </c>
      <c r="G132" s="196">
        <v>640</v>
      </c>
    </row>
    <row r="133" spans="1:7" ht="15">
      <c r="A133" s="196">
        <v>132</v>
      </c>
      <c r="B133" s="196" t="s">
        <v>467</v>
      </c>
      <c r="C133" s="196" t="s">
        <v>468</v>
      </c>
      <c r="D133" s="196" t="s">
        <v>480</v>
      </c>
      <c r="E133" s="197">
        <v>41898</v>
      </c>
      <c r="F133" s="196">
        <v>12228</v>
      </c>
      <c r="G133" s="196">
        <v>13451</v>
      </c>
    </row>
    <row r="134" spans="1:7" ht="15">
      <c r="A134" s="196">
        <v>133</v>
      </c>
      <c r="B134" s="196" t="s">
        <v>471</v>
      </c>
      <c r="C134" s="196" t="s">
        <v>470</v>
      </c>
      <c r="D134" s="196" t="s">
        <v>348</v>
      </c>
      <c r="E134" s="197">
        <v>42074</v>
      </c>
      <c r="F134" s="196">
        <v>18819</v>
      </c>
      <c r="G134" s="196">
        <v>20701</v>
      </c>
    </row>
    <row r="135" spans="1:7" ht="15">
      <c r="A135" s="196">
        <v>134</v>
      </c>
      <c r="B135" s="196" t="s">
        <v>464</v>
      </c>
      <c r="C135" s="196" t="s">
        <v>465</v>
      </c>
      <c r="D135" s="196" t="s">
        <v>477</v>
      </c>
      <c r="E135" s="197">
        <v>42852</v>
      </c>
      <c r="F135" s="196">
        <v>1442</v>
      </c>
      <c r="G135" s="196">
        <v>1586</v>
      </c>
    </row>
    <row r="136" spans="1:7" ht="15">
      <c r="A136" s="196">
        <v>135</v>
      </c>
      <c r="B136" s="196" t="s">
        <v>467</v>
      </c>
      <c r="C136" s="196" t="s">
        <v>470</v>
      </c>
      <c r="D136" s="196" t="s">
        <v>348</v>
      </c>
      <c r="E136" s="197">
        <v>41984</v>
      </c>
      <c r="F136" s="196">
        <v>9091</v>
      </c>
      <c r="G136" s="196">
        <v>10000</v>
      </c>
    </row>
    <row r="137" spans="1:7" ht="15">
      <c r="A137" s="196">
        <v>136</v>
      </c>
      <c r="B137" s="196" t="s">
        <v>473</v>
      </c>
      <c r="C137" s="196" t="s">
        <v>470</v>
      </c>
      <c r="D137" s="196" t="s">
        <v>339</v>
      </c>
      <c r="E137" s="197">
        <v>42271</v>
      </c>
      <c r="F137" s="196">
        <v>2713</v>
      </c>
      <c r="G137" s="196">
        <v>2984</v>
      </c>
    </row>
    <row r="138" spans="1:7" ht="15">
      <c r="A138" s="196">
        <v>137</v>
      </c>
      <c r="B138" s="196" t="s">
        <v>467</v>
      </c>
      <c r="C138" s="196" t="s">
        <v>465</v>
      </c>
      <c r="D138" s="196" t="s">
        <v>475</v>
      </c>
      <c r="E138" s="197">
        <v>42453</v>
      </c>
      <c r="F138" s="196">
        <v>25074</v>
      </c>
      <c r="G138" s="196">
        <v>27581</v>
      </c>
    </row>
    <row r="139" spans="1:7" ht="15">
      <c r="A139" s="196">
        <v>138</v>
      </c>
      <c r="B139" s="196" t="s">
        <v>467</v>
      </c>
      <c r="C139" s="196" t="s">
        <v>470</v>
      </c>
      <c r="D139" s="196" t="s">
        <v>344</v>
      </c>
      <c r="E139" s="197">
        <v>42161</v>
      </c>
      <c r="F139" s="196">
        <v>12658</v>
      </c>
      <c r="G139" s="196">
        <v>13924</v>
      </c>
    </row>
    <row r="140" spans="1:7" ht="15">
      <c r="A140" s="196">
        <v>139</v>
      </c>
      <c r="B140" s="196" t="s">
        <v>469</v>
      </c>
      <c r="C140" s="196" t="s">
        <v>470</v>
      </c>
      <c r="D140" s="196" t="s">
        <v>350</v>
      </c>
      <c r="E140" s="197">
        <v>42541</v>
      </c>
      <c r="F140" s="196">
        <v>4562</v>
      </c>
      <c r="G140" s="196">
        <v>5018</v>
      </c>
    </row>
    <row r="141" spans="1:7" ht="15">
      <c r="A141" s="196">
        <v>140</v>
      </c>
      <c r="B141" s="196" t="s">
        <v>464</v>
      </c>
      <c r="C141" s="196" t="s">
        <v>465</v>
      </c>
      <c r="D141" s="196" t="s">
        <v>350</v>
      </c>
      <c r="E141" s="197">
        <v>42146</v>
      </c>
      <c r="F141" s="196">
        <v>23050</v>
      </c>
      <c r="G141" s="196">
        <v>25355</v>
      </c>
    </row>
    <row r="142" spans="1:7" ht="15">
      <c r="A142" s="196">
        <v>141</v>
      </c>
      <c r="B142" s="196" t="s">
        <v>467</v>
      </c>
      <c r="C142" s="196" t="s">
        <v>468</v>
      </c>
      <c r="D142" s="196" t="s">
        <v>474</v>
      </c>
      <c r="E142" s="197">
        <v>41993</v>
      </c>
      <c r="F142" s="196">
        <v>7838</v>
      </c>
      <c r="G142" s="196">
        <v>8622</v>
      </c>
    </row>
    <row r="143" spans="1:7" ht="15">
      <c r="A143" s="196">
        <v>142</v>
      </c>
      <c r="B143" s="196" t="s">
        <v>473</v>
      </c>
      <c r="C143" s="196" t="s">
        <v>463</v>
      </c>
      <c r="D143" s="196" t="s">
        <v>346</v>
      </c>
      <c r="E143" s="197">
        <v>42165</v>
      </c>
      <c r="F143" s="196">
        <v>1509</v>
      </c>
      <c r="G143" s="196">
        <v>1660</v>
      </c>
    </row>
    <row r="144" spans="1:7" ht="15">
      <c r="A144" s="196">
        <v>143</v>
      </c>
      <c r="B144" s="196" t="s">
        <v>464</v>
      </c>
      <c r="C144" s="196" t="s">
        <v>468</v>
      </c>
      <c r="D144" s="196" t="s">
        <v>476</v>
      </c>
      <c r="E144" s="197">
        <v>42339</v>
      </c>
      <c r="F144" s="196">
        <v>25257</v>
      </c>
      <c r="G144" s="196">
        <v>27783</v>
      </c>
    </row>
    <row r="145" spans="1:7" ht="15">
      <c r="A145" s="196">
        <v>144</v>
      </c>
      <c r="B145" s="196" t="s">
        <v>469</v>
      </c>
      <c r="C145" s="196" t="s">
        <v>465</v>
      </c>
      <c r="D145" s="196" t="s">
        <v>477</v>
      </c>
      <c r="E145" s="197">
        <v>42104</v>
      </c>
      <c r="F145" s="196">
        <v>15843</v>
      </c>
      <c r="G145" s="196">
        <v>17427</v>
      </c>
    </row>
    <row r="146" spans="1:7" ht="15">
      <c r="A146" s="196">
        <v>145</v>
      </c>
      <c r="B146" s="196" t="s">
        <v>464</v>
      </c>
      <c r="C146" s="196" t="s">
        <v>468</v>
      </c>
      <c r="D146" s="196" t="s">
        <v>480</v>
      </c>
      <c r="E146" s="197">
        <v>42691</v>
      </c>
      <c r="F146" s="196">
        <v>11832</v>
      </c>
      <c r="G146" s="196">
        <v>13015</v>
      </c>
    </row>
    <row r="147" spans="1:7" ht="15">
      <c r="A147" s="196">
        <v>146</v>
      </c>
      <c r="B147" s="196" t="s">
        <v>467</v>
      </c>
      <c r="C147" s="196" t="s">
        <v>470</v>
      </c>
      <c r="D147" s="196" t="s">
        <v>466</v>
      </c>
      <c r="E147" s="197">
        <v>42569</v>
      </c>
      <c r="F147" s="196">
        <v>8988</v>
      </c>
      <c r="G147" s="196">
        <v>9887</v>
      </c>
    </row>
    <row r="148" spans="1:7" ht="15">
      <c r="A148" s="196">
        <v>147</v>
      </c>
      <c r="B148" s="196" t="s">
        <v>462</v>
      </c>
      <c r="C148" s="196" t="s">
        <v>463</v>
      </c>
      <c r="D148" s="196" t="s">
        <v>466</v>
      </c>
      <c r="E148" s="197">
        <v>42033</v>
      </c>
      <c r="F148" s="196">
        <v>20141</v>
      </c>
      <c r="G148" s="196">
        <v>22155</v>
      </c>
    </row>
    <row r="149" spans="1:7" ht="15">
      <c r="A149" s="196">
        <v>148</v>
      </c>
      <c r="B149" s="196" t="s">
        <v>471</v>
      </c>
      <c r="C149" s="196" t="s">
        <v>470</v>
      </c>
      <c r="D149" s="196" t="s">
        <v>466</v>
      </c>
      <c r="E149" s="197">
        <v>42301</v>
      </c>
      <c r="F149" s="196">
        <v>12564</v>
      </c>
      <c r="G149" s="196">
        <v>13820</v>
      </c>
    </row>
    <row r="150" spans="1:7" ht="15">
      <c r="A150" s="196">
        <v>149</v>
      </c>
      <c r="B150" s="196" t="s">
        <v>462</v>
      </c>
      <c r="C150" s="196" t="s">
        <v>465</v>
      </c>
      <c r="D150" s="196" t="s">
        <v>475</v>
      </c>
      <c r="E150" s="197">
        <v>42796</v>
      </c>
      <c r="F150" s="196">
        <v>19069</v>
      </c>
      <c r="G150" s="196">
        <v>20976</v>
      </c>
    </row>
    <row r="151" spans="1:7" ht="15">
      <c r="A151" s="196">
        <v>150</v>
      </c>
      <c r="B151" s="196" t="s">
        <v>473</v>
      </c>
      <c r="C151" s="196" t="s">
        <v>470</v>
      </c>
      <c r="D151" s="196" t="s">
        <v>466</v>
      </c>
      <c r="E151" s="197">
        <v>42142</v>
      </c>
      <c r="F151" s="196">
        <v>12564</v>
      </c>
      <c r="G151" s="196">
        <v>13820</v>
      </c>
    </row>
    <row r="152" spans="1:7" ht="15">
      <c r="A152" s="196">
        <v>151</v>
      </c>
      <c r="B152" s="196" t="s">
        <v>473</v>
      </c>
      <c r="C152" s="196" t="s">
        <v>470</v>
      </c>
      <c r="D152" s="196" t="s">
        <v>478</v>
      </c>
      <c r="E152" s="197">
        <v>42090</v>
      </c>
      <c r="F152" s="196">
        <v>16242</v>
      </c>
      <c r="G152" s="196">
        <v>17866</v>
      </c>
    </row>
    <row r="153" spans="1:7" ht="15">
      <c r="A153" s="196">
        <v>152</v>
      </c>
      <c r="B153" s="196" t="s">
        <v>462</v>
      </c>
      <c r="C153" s="196" t="s">
        <v>470</v>
      </c>
      <c r="D153" s="196" t="s">
        <v>478</v>
      </c>
      <c r="E153" s="197">
        <v>42245</v>
      </c>
      <c r="F153" s="196">
        <v>6361</v>
      </c>
      <c r="G153" s="196">
        <v>6997</v>
      </c>
    </row>
    <row r="154" spans="1:7" ht="15">
      <c r="A154" s="196">
        <v>153</v>
      </c>
      <c r="B154" s="196" t="s">
        <v>467</v>
      </c>
      <c r="C154" s="196" t="s">
        <v>465</v>
      </c>
      <c r="D154" s="196" t="s">
        <v>344</v>
      </c>
      <c r="E154" s="197">
        <v>41962</v>
      </c>
      <c r="F154" s="196">
        <v>8672</v>
      </c>
      <c r="G154" s="196">
        <v>9539</v>
      </c>
    </row>
    <row r="155" spans="1:7" ht="15">
      <c r="A155" s="196">
        <v>154</v>
      </c>
      <c r="B155" s="196" t="s">
        <v>471</v>
      </c>
      <c r="C155" s="196" t="s">
        <v>463</v>
      </c>
      <c r="D155" s="196" t="s">
        <v>344</v>
      </c>
      <c r="E155" s="197">
        <v>42269</v>
      </c>
      <c r="F155" s="196">
        <v>5326</v>
      </c>
      <c r="G155" s="196">
        <v>5859</v>
      </c>
    </row>
    <row r="156" spans="1:7" ht="15">
      <c r="A156" s="196">
        <v>155</v>
      </c>
      <c r="B156" s="196" t="s">
        <v>462</v>
      </c>
      <c r="C156" s="196" t="s">
        <v>468</v>
      </c>
      <c r="D156" s="196" t="s">
        <v>474</v>
      </c>
      <c r="E156" s="197">
        <v>41965</v>
      </c>
      <c r="F156" s="196">
        <v>15037</v>
      </c>
      <c r="G156" s="196">
        <v>16541</v>
      </c>
    </row>
    <row r="157" spans="1:7" ht="15">
      <c r="A157" s="196">
        <v>156</v>
      </c>
      <c r="B157" s="196" t="s">
        <v>469</v>
      </c>
      <c r="C157" s="196" t="s">
        <v>463</v>
      </c>
      <c r="D157" s="196" t="s">
        <v>346</v>
      </c>
      <c r="E157" s="197">
        <v>42554</v>
      </c>
      <c r="F157" s="196">
        <v>13486</v>
      </c>
      <c r="G157" s="196">
        <v>14835</v>
      </c>
    </row>
    <row r="158" spans="1:7" ht="15">
      <c r="A158" s="196">
        <v>157</v>
      </c>
      <c r="B158" s="196" t="s">
        <v>471</v>
      </c>
      <c r="C158" s="196" t="s">
        <v>465</v>
      </c>
      <c r="D158" s="196" t="s">
        <v>348</v>
      </c>
      <c r="E158" s="197">
        <v>42713</v>
      </c>
      <c r="F158" s="196">
        <v>258</v>
      </c>
      <c r="G158" s="196">
        <v>284</v>
      </c>
    </row>
    <row r="159" spans="1:7" ht="15">
      <c r="A159" s="196">
        <v>158</v>
      </c>
      <c r="B159" s="196" t="s">
        <v>473</v>
      </c>
      <c r="C159" s="196" t="s">
        <v>468</v>
      </c>
      <c r="D159" s="196" t="s">
        <v>344</v>
      </c>
      <c r="E159" s="197">
        <v>42398</v>
      </c>
      <c r="F159" s="196">
        <v>17436</v>
      </c>
      <c r="G159" s="196">
        <v>19180</v>
      </c>
    </row>
    <row r="160" spans="1:7" ht="15">
      <c r="A160" s="196">
        <v>159</v>
      </c>
      <c r="B160" s="196" t="s">
        <v>473</v>
      </c>
      <c r="C160" s="196" t="s">
        <v>465</v>
      </c>
      <c r="D160" s="196" t="s">
        <v>348</v>
      </c>
      <c r="E160" s="197">
        <v>42856</v>
      </c>
      <c r="F160" s="196">
        <v>258</v>
      </c>
      <c r="G160" s="196">
        <v>284</v>
      </c>
    </row>
    <row r="161" spans="1:7" ht="15">
      <c r="A161" s="196">
        <v>160</v>
      </c>
      <c r="B161" s="196" t="s">
        <v>462</v>
      </c>
      <c r="C161" s="196" t="s">
        <v>468</v>
      </c>
      <c r="D161" s="196" t="s">
        <v>479</v>
      </c>
      <c r="E161" s="197">
        <v>42633</v>
      </c>
      <c r="F161" s="196">
        <v>21951</v>
      </c>
      <c r="G161" s="196">
        <v>24146</v>
      </c>
    </row>
    <row r="162" spans="1:7" ht="15">
      <c r="A162" s="196">
        <v>161</v>
      </c>
      <c r="B162" s="196" t="s">
        <v>469</v>
      </c>
      <c r="C162" s="196" t="s">
        <v>470</v>
      </c>
      <c r="D162" s="196" t="s">
        <v>346</v>
      </c>
      <c r="E162" s="197">
        <v>42223</v>
      </c>
      <c r="F162" s="196">
        <v>5640</v>
      </c>
      <c r="G162" s="196">
        <v>6204</v>
      </c>
    </row>
    <row r="163" spans="1:7" ht="15">
      <c r="A163" s="196">
        <v>162</v>
      </c>
      <c r="B163" s="196" t="s">
        <v>471</v>
      </c>
      <c r="C163" s="196" t="s">
        <v>465</v>
      </c>
      <c r="D163" s="196" t="s">
        <v>479</v>
      </c>
      <c r="E163" s="197">
        <v>42231</v>
      </c>
      <c r="F163" s="196">
        <v>4474</v>
      </c>
      <c r="G163" s="196">
        <v>4921</v>
      </c>
    </row>
    <row r="164" spans="1:7" ht="15">
      <c r="A164" s="196">
        <v>163</v>
      </c>
      <c r="B164" s="196" t="s">
        <v>467</v>
      </c>
      <c r="C164" s="196" t="s">
        <v>465</v>
      </c>
      <c r="D164" s="196" t="s">
        <v>477</v>
      </c>
      <c r="E164" s="197">
        <v>42469</v>
      </c>
      <c r="F164" s="196">
        <v>28361</v>
      </c>
      <c r="G164" s="196">
        <v>31197</v>
      </c>
    </row>
    <row r="165" spans="1:7" ht="15">
      <c r="A165" s="196">
        <v>164</v>
      </c>
      <c r="B165" s="196" t="s">
        <v>462</v>
      </c>
      <c r="C165" s="196" t="s">
        <v>468</v>
      </c>
      <c r="D165" s="196" t="s">
        <v>478</v>
      </c>
      <c r="E165" s="197">
        <v>42869</v>
      </c>
      <c r="F165" s="196">
        <v>12455</v>
      </c>
      <c r="G165" s="196">
        <v>13701</v>
      </c>
    </row>
    <row r="166" spans="1:7" ht="15">
      <c r="A166" s="196">
        <v>165</v>
      </c>
      <c r="B166" s="196" t="s">
        <v>464</v>
      </c>
      <c r="C166" s="196" t="s">
        <v>463</v>
      </c>
      <c r="D166" s="196" t="s">
        <v>477</v>
      </c>
      <c r="E166" s="197">
        <v>42366</v>
      </c>
      <c r="F166" s="196">
        <v>9584</v>
      </c>
      <c r="G166" s="196">
        <v>10542</v>
      </c>
    </row>
    <row r="167" spans="1:7" ht="15">
      <c r="A167" s="196">
        <v>166</v>
      </c>
      <c r="B167" s="196" t="s">
        <v>462</v>
      </c>
      <c r="C167" s="196" t="s">
        <v>470</v>
      </c>
      <c r="D167" s="196" t="s">
        <v>466</v>
      </c>
      <c r="E167" s="197">
        <v>42390</v>
      </c>
      <c r="F167" s="196">
        <v>9519</v>
      </c>
      <c r="G167" s="196">
        <v>10471</v>
      </c>
    </row>
    <row r="168" spans="1:7" ht="15">
      <c r="A168" s="196">
        <v>167</v>
      </c>
      <c r="B168" s="196" t="s">
        <v>464</v>
      </c>
      <c r="C168" s="196" t="s">
        <v>470</v>
      </c>
      <c r="D168" s="196" t="s">
        <v>478</v>
      </c>
      <c r="E168" s="197">
        <v>42111</v>
      </c>
      <c r="F168" s="196">
        <v>11353</v>
      </c>
      <c r="G168" s="196">
        <v>12488</v>
      </c>
    </row>
    <row r="169" spans="1:7" ht="15">
      <c r="A169" s="196">
        <v>168</v>
      </c>
      <c r="B169" s="196" t="s">
        <v>462</v>
      </c>
      <c r="C169" s="196" t="s">
        <v>468</v>
      </c>
      <c r="D169" s="196" t="s">
        <v>480</v>
      </c>
      <c r="E169" s="197">
        <v>42490</v>
      </c>
      <c r="F169" s="196">
        <v>18556</v>
      </c>
      <c r="G169" s="196">
        <v>20412</v>
      </c>
    </row>
    <row r="170" spans="1:7" ht="15">
      <c r="A170" s="196">
        <v>169</v>
      </c>
      <c r="B170" s="196" t="s">
        <v>473</v>
      </c>
      <c r="C170" s="196" t="s">
        <v>463</v>
      </c>
      <c r="D170" s="196" t="s">
        <v>348</v>
      </c>
      <c r="E170" s="197">
        <v>42050</v>
      </c>
      <c r="F170" s="196">
        <v>19116</v>
      </c>
      <c r="G170" s="196">
        <v>21028</v>
      </c>
    </row>
    <row r="171" spans="1:7" ht="15">
      <c r="A171" s="196">
        <v>170</v>
      </c>
      <c r="B171" s="196" t="s">
        <v>469</v>
      </c>
      <c r="C171" s="196" t="s">
        <v>465</v>
      </c>
      <c r="D171" s="196" t="s">
        <v>479</v>
      </c>
      <c r="E171" s="197">
        <v>42761</v>
      </c>
      <c r="F171" s="196">
        <v>22424</v>
      </c>
      <c r="G171" s="196">
        <v>24666</v>
      </c>
    </row>
    <row r="172" spans="1:7" ht="15">
      <c r="A172" s="196">
        <v>171</v>
      </c>
      <c r="B172" s="196" t="s">
        <v>462</v>
      </c>
      <c r="C172" s="196" t="s">
        <v>470</v>
      </c>
      <c r="D172" s="196" t="s">
        <v>480</v>
      </c>
      <c r="E172" s="197">
        <v>42335</v>
      </c>
      <c r="F172" s="196">
        <v>16445</v>
      </c>
      <c r="G172" s="196">
        <v>18090</v>
      </c>
    </row>
    <row r="173" spans="1:7" ht="15">
      <c r="A173" s="196">
        <v>172</v>
      </c>
      <c r="B173" s="196" t="s">
        <v>471</v>
      </c>
      <c r="C173" s="196" t="s">
        <v>465</v>
      </c>
      <c r="D173" s="196" t="s">
        <v>350</v>
      </c>
      <c r="E173" s="197">
        <v>42234</v>
      </c>
      <c r="F173" s="196">
        <v>2757</v>
      </c>
      <c r="G173" s="196">
        <v>3033</v>
      </c>
    </row>
    <row r="174" spans="1:7" ht="15">
      <c r="A174" s="196">
        <v>173</v>
      </c>
      <c r="B174" s="196" t="s">
        <v>473</v>
      </c>
      <c r="C174" s="196" t="s">
        <v>463</v>
      </c>
      <c r="D174" s="196" t="s">
        <v>476</v>
      </c>
      <c r="E174" s="197">
        <v>42572</v>
      </c>
      <c r="F174" s="196">
        <v>19774</v>
      </c>
      <c r="G174" s="196">
        <v>21751</v>
      </c>
    </row>
    <row r="175" spans="1:7" ht="15">
      <c r="A175" s="196">
        <v>174</v>
      </c>
      <c r="B175" s="196" t="s">
        <v>462</v>
      </c>
      <c r="C175" s="196" t="s">
        <v>468</v>
      </c>
      <c r="D175" s="196" t="s">
        <v>477</v>
      </c>
      <c r="E175" s="197">
        <v>42257</v>
      </c>
      <c r="F175" s="196">
        <v>10902</v>
      </c>
      <c r="G175" s="196">
        <v>11992</v>
      </c>
    </row>
    <row r="176" spans="1:7" ht="15">
      <c r="A176" s="196">
        <v>175</v>
      </c>
      <c r="B176" s="196" t="s">
        <v>471</v>
      </c>
      <c r="C176" s="196" t="s">
        <v>470</v>
      </c>
      <c r="D176" s="196" t="s">
        <v>478</v>
      </c>
      <c r="E176" s="197">
        <v>42668</v>
      </c>
      <c r="F176" s="196">
        <v>16242</v>
      </c>
      <c r="G176" s="196">
        <v>17866</v>
      </c>
    </row>
    <row r="177" spans="1:7" ht="15">
      <c r="A177" s="196">
        <v>176</v>
      </c>
      <c r="B177" s="196" t="s">
        <v>464</v>
      </c>
      <c r="C177" s="196" t="s">
        <v>465</v>
      </c>
      <c r="D177" s="196" t="s">
        <v>348</v>
      </c>
      <c r="E177" s="197">
        <v>42814</v>
      </c>
      <c r="F177" s="196">
        <v>12971</v>
      </c>
      <c r="G177" s="196">
        <v>14268</v>
      </c>
    </row>
    <row r="178" spans="1:7" ht="15">
      <c r="A178" s="196">
        <v>177</v>
      </c>
      <c r="B178" s="196" t="s">
        <v>462</v>
      </c>
      <c r="C178" s="196" t="s">
        <v>463</v>
      </c>
      <c r="D178" s="196" t="s">
        <v>477</v>
      </c>
      <c r="E178" s="197">
        <v>42694</v>
      </c>
      <c r="F178" s="196">
        <v>5066</v>
      </c>
      <c r="G178" s="196">
        <v>5573</v>
      </c>
    </row>
    <row r="179" spans="1:7" ht="15">
      <c r="A179" s="196">
        <v>178</v>
      </c>
      <c r="B179" s="196" t="s">
        <v>469</v>
      </c>
      <c r="C179" s="196" t="s">
        <v>465</v>
      </c>
      <c r="D179" s="196" t="s">
        <v>350</v>
      </c>
      <c r="E179" s="197">
        <v>42601</v>
      </c>
      <c r="F179" s="196">
        <v>1364</v>
      </c>
      <c r="G179" s="196">
        <v>1500</v>
      </c>
    </row>
    <row r="180" spans="1:7" ht="15">
      <c r="A180" s="196">
        <v>179</v>
      </c>
      <c r="B180" s="196" t="s">
        <v>473</v>
      </c>
      <c r="C180" s="196" t="s">
        <v>465</v>
      </c>
      <c r="D180" s="196" t="s">
        <v>350</v>
      </c>
      <c r="E180" s="197">
        <v>42527</v>
      </c>
      <c r="F180" s="196">
        <v>2949</v>
      </c>
      <c r="G180" s="196">
        <v>3244</v>
      </c>
    </row>
    <row r="181" spans="1:7" ht="15">
      <c r="A181" s="196">
        <v>180</v>
      </c>
      <c r="B181" s="196" t="s">
        <v>464</v>
      </c>
      <c r="C181" s="196" t="s">
        <v>465</v>
      </c>
      <c r="D181" s="196" t="s">
        <v>479</v>
      </c>
      <c r="E181" s="197">
        <v>42241</v>
      </c>
      <c r="F181" s="196">
        <v>15362</v>
      </c>
      <c r="G181" s="196">
        <v>16898</v>
      </c>
    </row>
    <row r="182" spans="1:7" ht="15">
      <c r="A182" s="196">
        <v>181</v>
      </c>
      <c r="B182" s="196" t="s">
        <v>471</v>
      </c>
      <c r="C182" s="196" t="s">
        <v>468</v>
      </c>
      <c r="D182" s="196" t="s">
        <v>472</v>
      </c>
      <c r="E182" s="197">
        <v>42219</v>
      </c>
      <c r="F182" s="196">
        <v>13587</v>
      </c>
      <c r="G182" s="196">
        <v>14946</v>
      </c>
    </row>
    <row r="183" spans="1:7" ht="15">
      <c r="A183" s="196">
        <v>182</v>
      </c>
      <c r="B183" s="196" t="s">
        <v>473</v>
      </c>
      <c r="C183" s="196" t="s">
        <v>463</v>
      </c>
      <c r="D183" s="196" t="s">
        <v>346</v>
      </c>
      <c r="E183" s="197">
        <v>42160</v>
      </c>
      <c r="F183" s="196">
        <v>11105</v>
      </c>
      <c r="G183" s="196">
        <v>12216</v>
      </c>
    </row>
    <row r="184" spans="1:7" ht="15">
      <c r="A184" s="196">
        <v>183</v>
      </c>
      <c r="B184" s="196" t="s">
        <v>471</v>
      </c>
      <c r="C184" s="196" t="s">
        <v>463</v>
      </c>
      <c r="D184" s="196" t="s">
        <v>348</v>
      </c>
      <c r="E184" s="197">
        <v>42392</v>
      </c>
      <c r="F184" s="196">
        <v>19116</v>
      </c>
      <c r="G184" s="196">
        <v>21028</v>
      </c>
    </row>
    <row r="185" spans="1:7" ht="15">
      <c r="A185" s="196">
        <v>184</v>
      </c>
      <c r="B185" s="196" t="s">
        <v>471</v>
      </c>
      <c r="C185" s="196" t="s">
        <v>463</v>
      </c>
      <c r="D185" s="196" t="s">
        <v>477</v>
      </c>
      <c r="E185" s="197">
        <v>42101</v>
      </c>
      <c r="F185" s="196">
        <v>14751</v>
      </c>
      <c r="G185" s="196">
        <v>16226</v>
      </c>
    </row>
    <row r="186" spans="1:7" ht="15">
      <c r="A186" s="196">
        <v>185</v>
      </c>
      <c r="B186" s="196" t="s">
        <v>471</v>
      </c>
      <c r="C186" s="196" t="s">
        <v>470</v>
      </c>
      <c r="D186" s="196" t="s">
        <v>339</v>
      </c>
      <c r="E186" s="197">
        <v>41955</v>
      </c>
      <c r="F186" s="196">
        <v>19449</v>
      </c>
      <c r="G186" s="196">
        <v>21394</v>
      </c>
    </row>
    <row r="187" spans="1:7" ht="15">
      <c r="A187" s="196">
        <v>186</v>
      </c>
      <c r="B187" s="196" t="s">
        <v>473</v>
      </c>
      <c r="C187" s="196" t="s">
        <v>468</v>
      </c>
      <c r="D187" s="196" t="s">
        <v>472</v>
      </c>
      <c r="E187" s="197">
        <v>42557</v>
      </c>
      <c r="F187" s="196">
        <v>1801</v>
      </c>
      <c r="G187" s="196">
        <v>1981</v>
      </c>
    </row>
    <row r="188" spans="1:7" ht="15">
      <c r="A188" s="196">
        <v>187</v>
      </c>
      <c r="B188" s="196" t="s">
        <v>473</v>
      </c>
      <c r="C188" s="196" t="s">
        <v>468</v>
      </c>
      <c r="D188" s="196" t="s">
        <v>478</v>
      </c>
      <c r="E188" s="197">
        <v>42475</v>
      </c>
      <c r="F188" s="196">
        <v>3749</v>
      </c>
      <c r="G188" s="196">
        <v>4124</v>
      </c>
    </row>
    <row r="189" spans="1:7" ht="15">
      <c r="A189" s="196">
        <v>188</v>
      </c>
      <c r="B189" s="196" t="s">
        <v>462</v>
      </c>
      <c r="C189" s="196" t="s">
        <v>465</v>
      </c>
      <c r="D189" s="196" t="s">
        <v>479</v>
      </c>
      <c r="E189" s="197">
        <v>42746</v>
      </c>
      <c r="F189" s="196">
        <v>10570</v>
      </c>
      <c r="G189" s="196">
        <v>11627</v>
      </c>
    </row>
    <row r="190" spans="1:7" ht="15">
      <c r="A190" s="196">
        <v>189</v>
      </c>
      <c r="B190" s="196" t="s">
        <v>464</v>
      </c>
      <c r="C190" s="196" t="s">
        <v>465</v>
      </c>
      <c r="D190" s="196" t="s">
        <v>475</v>
      </c>
      <c r="E190" s="197">
        <v>42636</v>
      </c>
      <c r="F190" s="196">
        <v>22816</v>
      </c>
      <c r="G190" s="196">
        <v>25098</v>
      </c>
    </row>
    <row r="191" spans="1:7" ht="15">
      <c r="A191" s="196">
        <v>190</v>
      </c>
      <c r="B191" s="196" t="s">
        <v>467</v>
      </c>
      <c r="C191" s="196" t="s">
        <v>463</v>
      </c>
      <c r="D191" s="196" t="s">
        <v>344</v>
      </c>
      <c r="E191" s="197">
        <v>42753</v>
      </c>
      <c r="F191" s="196">
        <v>18639</v>
      </c>
      <c r="G191" s="196">
        <v>20503</v>
      </c>
    </row>
    <row r="192" spans="1:7" ht="15">
      <c r="A192" s="196">
        <v>191</v>
      </c>
      <c r="B192" s="196" t="s">
        <v>464</v>
      </c>
      <c r="C192" s="196" t="s">
        <v>468</v>
      </c>
      <c r="D192" s="196" t="s">
        <v>475</v>
      </c>
      <c r="E192" s="197">
        <v>42075</v>
      </c>
      <c r="F192" s="196">
        <v>10068</v>
      </c>
      <c r="G192" s="196">
        <v>11075</v>
      </c>
    </row>
    <row r="193" spans="1:7" ht="15">
      <c r="A193" s="196">
        <v>192</v>
      </c>
      <c r="B193" s="196" t="s">
        <v>462</v>
      </c>
      <c r="C193" s="196" t="s">
        <v>468</v>
      </c>
      <c r="D193" s="196" t="s">
        <v>346</v>
      </c>
      <c r="E193" s="197">
        <v>42820</v>
      </c>
      <c r="F193" s="196">
        <v>5685</v>
      </c>
      <c r="G193" s="196">
        <v>6254</v>
      </c>
    </row>
    <row r="194" spans="1:7" ht="15">
      <c r="A194" s="196">
        <v>193</v>
      </c>
      <c r="B194" s="196" t="s">
        <v>467</v>
      </c>
      <c r="C194" s="196" t="s">
        <v>470</v>
      </c>
      <c r="D194" s="196" t="s">
        <v>474</v>
      </c>
      <c r="E194" s="197">
        <v>41934</v>
      </c>
      <c r="F194" s="196">
        <v>9990</v>
      </c>
      <c r="G194" s="196">
        <v>10989</v>
      </c>
    </row>
    <row r="195" spans="1:7" ht="15">
      <c r="A195" s="196">
        <v>194</v>
      </c>
      <c r="B195" s="196" t="s">
        <v>462</v>
      </c>
      <c r="C195" s="196" t="s">
        <v>468</v>
      </c>
      <c r="D195" s="196" t="s">
        <v>472</v>
      </c>
      <c r="E195" s="197">
        <v>42036</v>
      </c>
      <c r="F195" s="196">
        <v>18664</v>
      </c>
      <c r="G195" s="196">
        <v>20530</v>
      </c>
    </row>
    <row r="196" spans="1:7" ht="15">
      <c r="A196" s="196">
        <v>195</v>
      </c>
      <c r="B196" s="196" t="s">
        <v>471</v>
      </c>
      <c r="C196" s="196" t="s">
        <v>463</v>
      </c>
      <c r="D196" s="196" t="s">
        <v>476</v>
      </c>
      <c r="E196" s="197">
        <v>42027</v>
      </c>
      <c r="F196" s="196">
        <v>14383</v>
      </c>
      <c r="G196" s="196">
        <v>15821</v>
      </c>
    </row>
    <row r="197" spans="1:7" ht="15">
      <c r="A197" s="196">
        <v>196</v>
      </c>
      <c r="B197" s="196" t="s">
        <v>471</v>
      </c>
      <c r="C197" s="196" t="s">
        <v>463</v>
      </c>
      <c r="D197" s="196" t="s">
        <v>475</v>
      </c>
      <c r="E197" s="197">
        <v>42576</v>
      </c>
      <c r="F197" s="196">
        <v>5706</v>
      </c>
      <c r="G197" s="196">
        <v>6277</v>
      </c>
    </row>
    <row r="198" spans="1:7" ht="15">
      <c r="A198" s="196">
        <v>197</v>
      </c>
      <c r="B198" s="196" t="s">
        <v>473</v>
      </c>
      <c r="C198" s="196" t="s">
        <v>465</v>
      </c>
      <c r="D198" s="196" t="s">
        <v>466</v>
      </c>
      <c r="E198" s="197">
        <v>42360</v>
      </c>
      <c r="F198" s="196">
        <v>582</v>
      </c>
      <c r="G198" s="196">
        <v>640</v>
      </c>
    </row>
    <row r="199" spans="1:7" ht="15">
      <c r="A199" s="196">
        <v>198</v>
      </c>
      <c r="B199" s="196" t="s">
        <v>469</v>
      </c>
      <c r="C199" s="196" t="s">
        <v>470</v>
      </c>
      <c r="D199" s="196" t="s">
        <v>339</v>
      </c>
      <c r="E199" s="197">
        <v>42068</v>
      </c>
      <c r="F199" s="196">
        <v>26609</v>
      </c>
      <c r="G199" s="196">
        <v>29270</v>
      </c>
    </row>
    <row r="200" spans="1:7" ht="15">
      <c r="A200" s="196">
        <v>199</v>
      </c>
      <c r="B200" s="196" t="s">
        <v>469</v>
      </c>
      <c r="C200" s="196" t="s">
        <v>468</v>
      </c>
      <c r="D200" s="196" t="s">
        <v>478</v>
      </c>
      <c r="E200" s="197">
        <v>42446</v>
      </c>
      <c r="F200" s="196">
        <v>13974</v>
      </c>
      <c r="G200" s="196">
        <v>15371</v>
      </c>
    </row>
    <row r="201" spans="1:7" ht="15">
      <c r="A201" s="196">
        <v>200</v>
      </c>
      <c r="B201" s="196" t="s">
        <v>467</v>
      </c>
      <c r="C201" s="196" t="s">
        <v>470</v>
      </c>
      <c r="D201" s="196" t="s">
        <v>339</v>
      </c>
      <c r="E201" s="197">
        <v>42034</v>
      </c>
      <c r="F201" s="196">
        <v>15430</v>
      </c>
      <c r="G201" s="196">
        <v>16973</v>
      </c>
    </row>
    <row r="202" spans="1:7" ht="15">
      <c r="A202" s="196">
        <v>201</v>
      </c>
      <c r="B202" s="196" t="s">
        <v>473</v>
      </c>
      <c r="C202" s="196" t="s">
        <v>468</v>
      </c>
      <c r="D202" s="196" t="s">
        <v>479</v>
      </c>
      <c r="E202" s="197">
        <v>41934</v>
      </c>
      <c r="F202" s="196">
        <v>5129</v>
      </c>
      <c r="G202" s="196">
        <v>5642</v>
      </c>
    </row>
    <row r="203" spans="1:7" ht="15">
      <c r="A203" s="196">
        <v>202</v>
      </c>
      <c r="B203" s="196" t="s">
        <v>469</v>
      </c>
      <c r="C203" s="196" t="s">
        <v>463</v>
      </c>
      <c r="D203" s="196" t="s">
        <v>339</v>
      </c>
      <c r="E203" s="197">
        <v>42649</v>
      </c>
      <c r="F203" s="196">
        <v>14378</v>
      </c>
      <c r="G203" s="196">
        <v>15816</v>
      </c>
    </row>
    <row r="204" spans="1:7" ht="15">
      <c r="A204" s="196">
        <v>203</v>
      </c>
      <c r="B204" s="196" t="s">
        <v>471</v>
      </c>
      <c r="C204" s="196" t="s">
        <v>468</v>
      </c>
      <c r="D204" s="196" t="s">
        <v>344</v>
      </c>
      <c r="E204" s="197">
        <v>42301</v>
      </c>
      <c r="F204" s="196">
        <v>17436</v>
      </c>
      <c r="G204" s="196">
        <v>19180</v>
      </c>
    </row>
    <row r="205" spans="1:7" ht="15">
      <c r="A205" s="196">
        <v>204</v>
      </c>
      <c r="B205" s="196" t="s">
        <v>469</v>
      </c>
      <c r="C205" s="196" t="s">
        <v>465</v>
      </c>
      <c r="D205" s="196" t="s">
        <v>479</v>
      </c>
      <c r="E205" s="197">
        <v>42761</v>
      </c>
      <c r="F205" s="196">
        <v>7738</v>
      </c>
      <c r="G205" s="196">
        <v>8512</v>
      </c>
    </row>
    <row r="206" spans="1:7" ht="15">
      <c r="A206" s="196">
        <v>205</v>
      </c>
      <c r="B206" s="196" t="s">
        <v>473</v>
      </c>
      <c r="C206" s="196" t="s">
        <v>463</v>
      </c>
      <c r="D206" s="196" t="s">
        <v>339</v>
      </c>
      <c r="E206" s="197">
        <v>42077</v>
      </c>
      <c r="F206" s="196">
        <v>167</v>
      </c>
      <c r="G206" s="196">
        <v>184</v>
      </c>
    </row>
    <row r="207" spans="1:7" ht="15">
      <c r="A207" s="196">
        <v>206</v>
      </c>
      <c r="B207" s="196" t="s">
        <v>464</v>
      </c>
      <c r="C207" s="196" t="s">
        <v>468</v>
      </c>
      <c r="D207" s="196" t="s">
        <v>479</v>
      </c>
      <c r="E207" s="197">
        <v>42017</v>
      </c>
      <c r="F207" s="196">
        <v>28716</v>
      </c>
      <c r="G207" s="196">
        <v>31588</v>
      </c>
    </row>
    <row r="208" spans="1:7" ht="15">
      <c r="A208" s="196">
        <v>207</v>
      </c>
      <c r="B208" s="196" t="s">
        <v>467</v>
      </c>
      <c r="C208" s="196" t="s">
        <v>463</v>
      </c>
      <c r="D208" s="196" t="s">
        <v>472</v>
      </c>
      <c r="E208" s="197">
        <v>42024</v>
      </c>
      <c r="F208" s="196">
        <v>10465</v>
      </c>
      <c r="G208" s="196">
        <v>11512</v>
      </c>
    </row>
    <row r="209" spans="1:7" ht="15">
      <c r="A209" s="196">
        <v>208</v>
      </c>
      <c r="B209" s="196" t="s">
        <v>471</v>
      </c>
      <c r="C209" s="196" t="s">
        <v>463</v>
      </c>
      <c r="D209" s="196" t="s">
        <v>476</v>
      </c>
      <c r="E209" s="197">
        <v>42065</v>
      </c>
      <c r="F209" s="196">
        <v>19774</v>
      </c>
      <c r="G209" s="196">
        <v>21751</v>
      </c>
    </row>
    <row r="210" spans="1:7" ht="15">
      <c r="A210" s="196">
        <v>209</v>
      </c>
      <c r="B210" s="196" t="s">
        <v>471</v>
      </c>
      <c r="C210" s="196" t="s">
        <v>465</v>
      </c>
      <c r="D210" s="196" t="s">
        <v>477</v>
      </c>
      <c r="E210" s="197">
        <v>42048</v>
      </c>
      <c r="F210" s="196">
        <v>1701</v>
      </c>
      <c r="G210" s="196">
        <v>1871</v>
      </c>
    </row>
    <row r="211" spans="1:7" ht="15">
      <c r="A211" s="196">
        <v>210</v>
      </c>
      <c r="B211" s="196" t="s">
        <v>467</v>
      </c>
      <c r="C211" s="196" t="s">
        <v>470</v>
      </c>
      <c r="D211" s="196" t="s">
        <v>350</v>
      </c>
      <c r="E211" s="197">
        <v>42829</v>
      </c>
      <c r="F211" s="196">
        <v>11553</v>
      </c>
      <c r="G211" s="196">
        <v>12708</v>
      </c>
    </row>
    <row r="212" spans="1:7" ht="15">
      <c r="A212" s="196">
        <v>211</v>
      </c>
      <c r="B212" s="196" t="s">
        <v>467</v>
      </c>
      <c r="C212" s="196" t="s">
        <v>463</v>
      </c>
      <c r="D212" s="196" t="s">
        <v>348</v>
      </c>
      <c r="E212" s="197">
        <v>41972</v>
      </c>
      <c r="F212" s="196">
        <v>11343</v>
      </c>
      <c r="G212" s="196">
        <v>12477</v>
      </c>
    </row>
    <row r="213" spans="1:7" ht="15">
      <c r="A213" s="196">
        <v>212</v>
      </c>
      <c r="B213" s="196" t="s">
        <v>469</v>
      </c>
      <c r="C213" s="196" t="s">
        <v>463</v>
      </c>
      <c r="D213" s="196" t="s">
        <v>475</v>
      </c>
      <c r="E213" s="197">
        <v>42831</v>
      </c>
      <c r="F213" s="196">
        <v>14323</v>
      </c>
      <c r="G213" s="196">
        <v>15755</v>
      </c>
    </row>
    <row r="214" spans="1:7" ht="15">
      <c r="A214" s="196">
        <v>213</v>
      </c>
      <c r="B214" s="196" t="s">
        <v>473</v>
      </c>
      <c r="C214" s="196" t="s">
        <v>468</v>
      </c>
      <c r="D214" s="196" t="s">
        <v>477</v>
      </c>
      <c r="E214" s="197">
        <v>42510</v>
      </c>
      <c r="F214" s="196">
        <v>4299</v>
      </c>
      <c r="G214" s="196">
        <v>4729</v>
      </c>
    </row>
    <row r="215" spans="1:7" ht="15">
      <c r="A215" s="196">
        <v>214</v>
      </c>
      <c r="B215" s="196" t="s">
        <v>467</v>
      </c>
      <c r="C215" s="196" t="s">
        <v>463</v>
      </c>
      <c r="D215" s="196" t="s">
        <v>466</v>
      </c>
      <c r="E215" s="197">
        <v>42571</v>
      </c>
      <c r="F215" s="196">
        <v>6950</v>
      </c>
      <c r="G215" s="196">
        <v>7645</v>
      </c>
    </row>
    <row r="216" spans="1:7" ht="15">
      <c r="A216" s="196">
        <v>215</v>
      </c>
      <c r="B216" s="196" t="s">
        <v>471</v>
      </c>
      <c r="C216" s="196" t="s">
        <v>470</v>
      </c>
      <c r="D216" s="196" t="s">
        <v>346</v>
      </c>
      <c r="E216" s="197">
        <v>42605</v>
      </c>
      <c r="F216" s="196">
        <v>477</v>
      </c>
      <c r="G216" s="196">
        <v>525</v>
      </c>
    </row>
    <row r="217" spans="1:7" ht="15">
      <c r="A217" s="196">
        <v>216</v>
      </c>
      <c r="B217" s="196" t="s">
        <v>469</v>
      </c>
      <c r="C217" s="196" t="s">
        <v>465</v>
      </c>
      <c r="D217" s="196" t="s">
        <v>344</v>
      </c>
      <c r="E217" s="197">
        <v>42075</v>
      </c>
      <c r="F217" s="196">
        <v>16256</v>
      </c>
      <c r="G217" s="196">
        <v>17882</v>
      </c>
    </row>
    <row r="218" spans="1:7" ht="15">
      <c r="A218" s="196">
        <v>217</v>
      </c>
      <c r="B218" s="196" t="s">
        <v>464</v>
      </c>
      <c r="C218" s="196" t="s">
        <v>468</v>
      </c>
      <c r="D218" s="196" t="s">
        <v>472</v>
      </c>
      <c r="E218" s="197">
        <v>42206</v>
      </c>
      <c r="F218" s="196">
        <v>3367</v>
      </c>
      <c r="G218" s="196">
        <v>3704</v>
      </c>
    </row>
    <row r="219" spans="1:7" ht="15">
      <c r="A219" s="196">
        <v>218</v>
      </c>
      <c r="B219" s="196" t="s">
        <v>464</v>
      </c>
      <c r="C219" s="196" t="s">
        <v>468</v>
      </c>
      <c r="D219" s="196" t="s">
        <v>480</v>
      </c>
      <c r="E219" s="197">
        <v>42371</v>
      </c>
      <c r="F219" s="196">
        <v>19570</v>
      </c>
      <c r="G219" s="196">
        <v>21527</v>
      </c>
    </row>
    <row r="220" spans="1:7" ht="15">
      <c r="A220" s="196">
        <v>219</v>
      </c>
      <c r="B220" s="196" t="s">
        <v>462</v>
      </c>
      <c r="C220" s="196" t="s">
        <v>470</v>
      </c>
      <c r="D220" s="196" t="s">
        <v>350</v>
      </c>
      <c r="E220" s="197">
        <v>42507</v>
      </c>
      <c r="F220" s="196">
        <v>5541</v>
      </c>
      <c r="G220" s="196">
        <v>6095</v>
      </c>
    </row>
    <row r="221" spans="1:7" ht="15">
      <c r="A221" s="196">
        <v>220</v>
      </c>
      <c r="B221" s="196" t="s">
        <v>473</v>
      </c>
      <c r="C221" s="196" t="s">
        <v>468</v>
      </c>
      <c r="D221" s="196" t="s">
        <v>474</v>
      </c>
      <c r="E221" s="197">
        <v>41947</v>
      </c>
      <c r="F221" s="196">
        <v>16653</v>
      </c>
      <c r="G221" s="196">
        <v>18318</v>
      </c>
    </row>
    <row r="222" spans="1:7" ht="15">
      <c r="A222" s="196">
        <v>221</v>
      </c>
      <c r="B222" s="196" t="s">
        <v>464</v>
      </c>
      <c r="C222" s="196" t="s">
        <v>470</v>
      </c>
      <c r="D222" s="196" t="s">
        <v>339</v>
      </c>
      <c r="E222" s="197">
        <v>42346</v>
      </c>
      <c r="F222" s="196">
        <v>13228</v>
      </c>
      <c r="G222" s="196">
        <v>14551</v>
      </c>
    </row>
    <row r="223" spans="1:7" ht="15">
      <c r="A223" s="196">
        <v>222</v>
      </c>
      <c r="B223" s="196" t="s">
        <v>462</v>
      </c>
      <c r="C223" s="196" t="s">
        <v>465</v>
      </c>
      <c r="D223" s="196" t="s">
        <v>350</v>
      </c>
      <c r="E223" s="197">
        <v>42799</v>
      </c>
      <c r="F223" s="196">
        <v>2330</v>
      </c>
      <c r="G223" s="196">
        <v>2563</v>
      </c>
    </row>
    <row r="224" spans="1:7" ht="15">
      <c r="A224" s="196">
        <v>223</v>
      </c>
      <c r="B224" s="196" t="s">
        <v>471</v>
      </c>
      <c r="C224" s="196" t="s">
        <v>468</v>
      </c>
      <c r="D224" s="196" t="s">
        <v>478</v>
      </c>
      <c r="E224" s="197">
        <v>41940</v>
      </c>
      <c r="F224" s="196">
        <v>3749</v>
      </c>
      <c r="G224" s="196">
        <v>4124</v>
      </c>
    </row>
    <row r="225" spans="1:7" ht="15">
      <c r="A225" s="196">
        <v>224</v>
      </c>
      <c r="B225" s="196" t="s">
        <v>462</v>
      </c>
      <c r="C225" s="196" t="s">
        <v>468</v>
      </c>
      <c r="D225" s="196" t="s">
        <v>344</v>
      </c>
      <c r="E225" s="197">
        <v>42192</v>
      </c>
      <c r="F225" s="196">
        <v>22266</v>
      </c>
      <c r="G225" s="196">
        <v>24493</v>
      </c>
    </row>
    <row r="226" spans="1:7" ht="15">
      <c r="A226" s="196">
        <v>225</v>
      </c>
      <c r="B226" s="196" t="s">
        <v>471</v>
      </c>
      <c r="C226" s="196" t="s">
        <v>470</v>
      </c>
      <c r="D226" s="196" t="s">
        <v>474</v>
      </c>
      <c r="E226" s="197">
        <v>42179</v>
      </c>
      <c r="F226" s="196">
        <v>4408</v>
      </c>
      <c r="G226" s="196">
        <v>4849</v>
      </c>
    </row>
    <row r="227" spans="1:7" ht="15">
      <c r="A227" s="196">
        <v>226</v>
      </c>
      <c r="B227" s="196" t="s">
        <v>467</v>
      </c>
      <c r="C227" s="196" t="s">
        <v>470</v>
      </c>
      <c r="D227" s="196" t="s">
        <v>478</v>
      </c>
      <c r="E227" s="197">
        <v>42218</v>
      </c>
      <c r="F227" s="196">
        <v>5724</v>
      </c>
      <c r="G227" s="196">
        <v>6296</v>
      </c>
    </row>
    <row r="228" spans="1:7" ht="15">
      <c r="A228" s="196">
        <v>227</v>
      </c>
      <c r="B228" s="196" t="s">
        <v>469</v>
      </c>
      <c r="C228" s="196" t="s">
        <v>465</v>
      </c>
      <c r="D228" s="196" t="s">
        <v>475</v>
      </c>
      <c r="E228" s="197">
        <v>42512</v>
      </c>
      <c r="F228" s="196">
        <v>19735</v>
      </c>
      <c r="G228" s="196">
        <v>21709</v>
      </c>
    </row>
    <row r="229" spans="1:7" ht="15">
      <c r="A229" s="196">
        <v>228</v>
      </c>
      <c r="B229" s="196" t="s">
        <v>469</v>
      </c>
      <c r="C229" s="196" t="s">
        <v>468</v>
      </c>
      <c r="D229" s="196" t="s">
        <v>479</v>
      </c>
      <c r="E229" s="197">
        <v>42351</v>
      </c>
      <c r="F229" s="196">
        <v>13534</v>
      </c>
      <c r="G229" s="196">
        <v>14887</v>
      </c>
    </row>
    <row r="230" spans="1:7" ht="15">
      <c r="A230" s="196">
        <v>229</v>
      </c>
      <c r="B230" s="196" t="s">
        <v>462</v>
      </c>
      <c r="C230" s="196" t="s">
        <v>470</v>
      </c>
      <c r="D230" s="196" t="s">
        <v>348</v>
      </c>
      <c r="E230" s="197">
        <v>42364</v>
      </c>
      <c r="F230" s="196">
        <v>483</v>
      </c>
      <c r="G230" s="196">
        <v>531</v>
      </c>
    </row>
    <row r="231" spans="1:7" ht="15">
      <c r="A231" s="196">
        <v>230</v>
      </c>
      <c r="B231" s="196" t="s">
        <v>471</v>
      </c>
      <c r="C231" s="196" t="s">
        <v>470</v>
      </c>
      <c r="D231" s="196" t="s">
        <v>339</v>
      </c>
      <c r="E231" s="197">
        <v>42542</v>
      </c>
      <c r="F231" s="196">
        <v>1069</v>
      </c>
      <c r="G231" s="196">
        <v>1176</v>
      </c>
    </row>
    <row r="232" spans="1:7" ht="15">
      <c r="A232" s="196">
        <v>231</v>
      </c>
      <c r="B232" s="196" t="s">
        <v>464</v>
      </c>
      <c r="C232" s="196" t="s">
        <v>463</v>
      </c>
      <c r="D232" s="196" t="s">
        <v>346</v>
      </c>
      <c r="E232" s="197">
        <v>42656</v>
      </c>
      <c r="F232" s="196">
        <v>22508</v>
      </c>
      <c r="G232" s="196">
        <v>24759</v>
      </c>
    </row>
    <row r="233" spans="1:7" ht="15">
      <c r="A233" s="196">
        <v>232</v>
      </c>
      <c r="B233" s="196" t="s">
        <v>471</v>
      </c>
      <c r="C233" s="196" t="s">
        <v>465</v>
      </c>
      <c r="D233" s="196" t="s">
        <v>350</v>
      </c>
      <c r="E233" s="197">
        <v>42701</v>
      </c>
      <c r="F233" s="196">
        <v>2949</v>
      </c>
      <c r="G233" s="196">
        <v>3244</v>
      </c>
    </row>
    <row r="234" spans="1:7" ht="15">
      <c r="A234" s="196">
        <v>233</v>
      </c>
      <c r="B234" s="196" t="s">
        <v>464</v>
      </c>
      <c r="C234" s="196" t="s">
        <v>465</v>
      </c>
      <c r="D234" s="196" t="s">
        <v>344</v>
      </c>
      <c r="E234" s="197">
        <v>42404</v>
      </c>
      <c r="F234" s="196">
        <v>8327</v>
      </c>
      <c r="G234" s="196">
        <v>9160</v>
      </c>
    </row>
    <row r="235" spans="1:7" ht="15">
      <c r="A235" s="196">
        <v>234</v>
      </c>
      <c r="B235" s="196" t="s">
        <v>462</v>
      </c>
      <c r="C235" s="196" t="s">
        <v>463</v>
      </c>
      <c r="D235" s="196" t="s">
        <v>476</v>
      </c>
      <c r="E235" s="197">
        <v>42182</v>
      </c>
      <c r="F235" s="196">
        <v>764</v>
      </c>
      <c r="G235" s="196">
        <v>840</v>
      </c>
    </row>
    <row r="236" spans="1:7" ht="15">
      <c r="A236" s="196">
        <v>235</v>
      </c>
      <c r="B236" s="196" t="s">
        <v>469</v>
      </c>
      <c r="C236" s="196" t="s">
        <v>470</v>
      </c>
      <c r="D236" s="196" t="s">
        <v>348</v>
      </c>
      <c r="E236" s="197">
        <v>42247</v>
      </c>
      <c r="F236" s="196">
        <v>22234</v>
      </c>
      <c r="G236" s="196">
        <v>24457</v>
      </c>
    </row>
    <row r="237" spans="1:7" ht="15">
      <c r="A237" s="196">
        <v>236</v>
      </c>
      <c r="B237" s="196" t="s">
        <v>471</v>
      </c>
      <c r="C237" s="196" t="s">
        <v>468</v>
      </c>
      <c r="D237" s="196" t="s">
        <v>480</v>
      </c>
      <c r="E237" s="197">
        <v>42129</v>
      </c>
      <c r="F237" s="196">
        <v>3982</v>
      </c>
      <c r="G237" s="196">
        <v>4380</v>
      </c>
    </row>
    <row r="238" spans="1:7" ht="15">
      <c r="A238" s="196">
        <v>237</v>
      </c>
      <c r="B238" s="196" t="s">
        <v>464</v>
      </c>
      <c r="C238" s="196" t="s">
        <v>470</v>
      </c>
      <c r="D238" s="196" t="s">
        <v>480</v>
      </c>
      <c r="E238" s="197">
        <v>42646</v>
      </c>
      <c r="F238" s="196">
        <v>19161</v>
      </c>
      <c r="G238" s="196">
        <v>21077</v>
      </c>
    </row>
    <row r="239" spans="1:7" ht="15">
      <c r="A239" s="196">
        <v>238</v>
      </c>
      <c r="B239" s="196" t="s">
        <v>469</v>
      </c>
      <c r="C239" s="196" t="s">
        <v>470</v>
      </c>
      <c r="D239" s="196" t="s">
        <v>480</v>
      </c>
      <c r="E239" s="197">
        <v>42243</v>
      </c>
      <c r="F239" s="196">
        <v>25618</v>
      </c>
      <c r="G239" s="196">
        <v>28180</v>
      </c>
    </row>
    <row r="240" spans="1:7" ht="15">
      <c r="A240" s="196">
        <v>239</v>
      </c>
      <c r="B240" s="196" t="s">
        <v>469</v>
      </c>
      <c r="C240" s="196" t="s">
        <v>468</v>
      </c>
      <c r="D240" s="196" t="s">
        <v>480</v>
      </c>
      <c r="E240" s="197">
        <v>42719</v>
      </c>
      <c r="F240" s="196">
        <v>16357</v>
      </c>
      <c r="G240" s="196">
        <v>17993</v>
      </c>
    </row>
    <row r="241" spans="1:7" ht="15">
      <c r="A241" s="196">
        <v>240</v>
      </c>
      <c r="B241" s="196" t="s">
        <v>462</v>
      </c>
      <c r="C241" s="196" t="s">
        <v>463</v>
      </c>
      <c r="D241" s="196" t="s">
        <v>475</v>
      </c>
      <c r="E241" s="197">
        <v>42751</v>
      </c>
      <c r="F241" s="196">
        <v>12870</v>
      </c>
      <c r="G241" s="196">
        <v>14157</v>
      </c>
    </row>
    <row r="242" spans="1:7" ht="15">
      <c r="A242" s="196">
        <v>241</v>
      </c>
      <c r="B242" s="196" t="s">
        <v>467</v>
      </c>
      <c r="C242" s="196" t="s">
        <v>465</v>
      </c>
      <c r="D242" s="196" t="s">
        <v>350</v>
      </c>
      <c r="E242" s="197">
        <v>42702</v>
      </c>
      <c r="F242" s="196">
        <v>15290</v>
      </c>
      <c r="G242" s="196">
        <v>16819</v>
      </c>
    </row>
    <row r="243" spans="1:7" ht="15">
      <c r="A243" s="196">
        <v>242</v>
      </c>
      <c r="B243" s="196" t="s">
        <v>469</v>
      </c>
      <c r="C243" s="196" t="s">
        <v>468</v>
      </c>
      <c r="D243" s="196" t="s">
        <v>480</v>
      </c>
      <c r="E243" s="197">
        <v>42105</v>
      </c>
      <c r="F243" s="196">
        <v>24544</v>
      </c>
      <c r="G243" s="196">
        <v>26998</v>
      </c>
    </row>
    <row r="244" spans="1:7" ht="15">
      <c r="A244" s="196">
        <v>243</v>
      </c>
      <c r="B244" s="196" t="s">
        <v>464</v>
      </c>
      <c r="C244" s="196" t="s">
        <v>463</v>
      </c>
      <c r="D244" s="196" t="s">
        <v>339</v>
      </c>
      <c r="E244" s="197">
        <v>42141</v>
      </c>
      <c r="F244" s="196">
        <v>25167</v>
      </c>
      <c r="G244" s="196">
        <v>27684</v>
      </c>
    </row>
    <row r="245" spans="1:7" ht="15">
      <c r="A245" s="196">
        <v>244</v>
      </c>
      <c r="B245" s="196" t="s">
        <v>462</v>
      </c>
      <c r="C245" s="196" t="s">
        <v>465</v>
      </c>
      <c r="D245" s="196" t="s">
        <v>466</v>
      </c>
      <c r="E245" s="197">
        <v>42337</v>
      </c>
      <c r="F245" s="196">
        <v>8087</v>
      </c>
      <c r="G245" s="196">
        <v>8896</v>
      </c>
    </row>
    <row r="246" spans="1:7" ht="15">
      <c r="A246" s="196">
        <v>245</v>
      </c>
      <c r="B246" s="196" t="s">
        <v>473</v>
      </c>
      <c r="C246" s="196" t="s">
        <v>465</v>
      </c>
      <c r="D246" s="196" t="s">
        <v>475</v>
      </c>
      <c r="E246" s="197">
        <v>42091</v>
      </c>
      <c r="F246" s="196">
        <v>4958</v>
      </c>
      <c r="G246" s="196">
        <v>5454</v>
      </c>
    </row>
    <row r="247" spans="1:7" ht="15">
      <c r="A247" s="196">
        <v>246</v>
      </c>
      <c r="B247" s="196" t="s">
        <v>467</v>
      </c>
      <c r="C247" s="196" t="s">
        <v>463</v>
      </c>
      <c r="D247" s="196" t="s">
        <v>475</v>
      </c>
      <c r="E247" s="197">
        <v>42202</v>
      </c>
      <c r="F247" s="196">
        <v>21435</v>
      </c>
      <c r="G247" s="196">
        <v>23579</v>
      </c>
    </row>
    <row r="248" spans="1:7" ht="15">
      <c r="A248" s="196">
        <v>247</v>
      </c>
      <c r="B248" s="196" t="s">
        <v>462</v>
      </c>
      <c r="C248" s="196" t="s">
        <v>463</v>
      </c>
      <c r="D248" s="196" t="s">
        <v>474</v>
      </c>
      <c r="E248" s="197">
        <v>42059</v>
      </c>
      <c r="F248" s="196">
        <v>14050</v>
      </c>
      <c r="G248" s="196">
        <v>15455</v>
      </c>
    </row>
    <row r="249" spans="1:7" ht="15">
      <c r="A249" s="196">
        <v>248</v>
      </c>
      <c r="B249" s="196" t="s">
        <v>464</v>
      </c>
      <c r="C249" s="196" t="s">
        <v>468</v>
      </c>
      <c r="D249" s="196" t="s">
        <v>474</v>
      </c>
      <c r="E249" s="197">
        <v>41969</v>
      </c>
      <c r="F249" s="196">
        <v>7083</v>
      </c>
      <c r="G249" s="196">
        <v>7791</v>
      </c>
    </row>
    <row r="250" spans="1:7" ht="15">
      <c r="A250" s="196">
        <v>249</v>
      </c>
      <c r="B250" s="196" t="s">
        <v>471</v>
      </c>
      <c r="C250" s="196" t="s">
        <v>468</v>
      </c>
      <c r="D250" s="196" t="s">
        <v>477</v>
      </c>
      <c r="E250" s="197">
        <v>42431</v>
      </c>
      <c r="F250" s="196">
        <v>4299</v>
      </c>
      <c r="G250" s="196">
        <v>4729</v>
      </c>
    </row>
    <row r="251" spans="1:7" ht="15">
      <c r="A251" s="196">
        <v>250</v>
      </c>
      <c r="B251" s="196" t="s">
        <v>467</v>
      </c>
      <c r="C251" s="196" t="s">
        <v>470</v>
      </c>
      <c r="D251" s="196" t="s">
        <v>480</v>
      </c>
      <c r="E251" s="197">
        <v>42779</v>
      </c>
      <c r="F251" s="196">
        <v>10402</v>
      </c>
      <c r="G251" s="196">
        <v>11442</v>
      </c>
    </row>
    <row r="252" spans="1:7" ht="15">
      <c r="A252" s="196">
        <v>251</v>
      </c>
      <c r="B252" s="196" t="s">
        <v>467</v>
      </c>
      <c r="C252" s="196" t="s">
        <v>463</v>
      </c>
      <c r="D252" s="196" t="s">
        <v>474</v>
      </c>
      <c r="E252" s="197">
        <v>42649</v>
      </c>
      <c r="F252" s="196">
        <v>7696</v>
      </c>
      <c r="G252" s="196">
        <v>8466</v>
      </c>
    </row>
    <row r="253" spans="1:7" ht="15">
      <c r="A253" s="196">
        <v>252</v>
      </c>
      <c r="B253" s="196" t="s">
        <v>473</v>
      </c>
      <c r="C253" s="196" t="s">
        <v>465</v>
      </c>
      <c r="D253" s="196" t="s">
        <v>474</v>
      </c>
      <c r="E253" s="197">
        <v>42837</v>
      </c>
      <c r="F253" s="196">
        <v>8513</v>
      </c>
      <c r="G253" s="196">
        <v>9364</v>
      </c>
    </row>
    <row r="254" spans="1:7" ht="15">
      <c r="A254" s="196">
        <v>253</v>
      </c>
      <c r="B254" s="196" t="s">
        <v>473</v>
      </c>
      <c r="C254" s="196" t="s">
        <v>465</v>
      </c>
      <c r="D254" s="196" t="s">
        <v>478</v>
      </c>
      <c r="E254" s="197">
        <v>42443</v>
      </c>
      <c r="F254" s="196">
        <v>17046</v>
      </c>
      <c r="G254" s="196">
        <v>18751</v>
      </c>
    </row>
    <row r="255" spans="1:7" ht="15">
      <c r="A255" s="196">
        <v>254</v>
      </c>
      <c r="B255" s="196" t="s">
        <v>462</v>
      </c>
      <c r="C255" s="196" t="s">
        <v>465</v>
      </c>
      <c r="D255" s="196" t="s">
        <v>344</v>
      </c>
      <c r="E255" s="197">
        <v>42210</v>
      </c>
      <c r="F255" s="196">
        <v>21205</v>
      </c>
      <c r="G255" s="196">
        <v>23326</v>
      </c>
    </row>
    <row r="256" spans="1:7" ht="15">
      <c r="A256" s="196">
        <v>255</v>
      </c>
      <c r="B256" s="196" t="s">
        <v>464</v>
      </c>
      <c r="C256" s="196" t="s">
        <v>470</v>
      </c>
      <c r="D256" s="196" t="s">
        <v>348</v>
      </c>
      <c r="E256" s="197">
        <v>42110</v>
      </c>
      <c r="F256" s="196">
        <v>9278</v>
      </c>
      <c r="G256" s="196">
        <v>10206</v>
      </c>
    </row>
    <row r="257" spans="1:7" ht="15">
      <c r="A257" s="196">
        <v>256</v>
      </c>
      <c r="B257" s="196" t="s">
        <v>467</v>
      </c>
      <c r="C257" s="196" t="s">
        <v>468</v>
      </c>
      <c r="D257" s="196" t="s">
        <v>346</v>
      </c>
      <c r="E257" s="197">
        <v>42618</v>
      </c>
      <c r="F257" s="196">
        <v>11317</v>
      </c>
      <c r="G257" s="196">
        <v>12449</v>
      </c>
    </row>
    <row r="258" spans="1:7" ht="15">
      <c r="A258" s="196">
        <v>257</v>
      </c>
      <c r="B258" s="196" t="s">
        <v>469</v>
      </c>
      <c r="C258" s="196" t="s">
        <v>470</v>
      </c>
      <c r="D258" s="196" t="s">
        <v>339</v>
      </c>
      <c r="E258" s="197">
        <v>42758</v>
      </c>
      <c r="F258" s="196">
        <v>16301</v>
      </c>
      <c r="G258" s="196">
        <v>17931</v>
      </c>
    </row>
    <row r="259" spans="1:7" ht="15">
      <c r="A259" s="196">
        <v>258</v>
      </c>
      <c r="B259" s="196" t="s">
        <v>467</v>
      </c>
      <c r="C259" s="196" t="s">
        <v>463</v>
      </c>
      <c r="D259" s="196" t="s">
        <v>346</v>
      </c>
      <c r="E259" s="197">
        <v>42482</v>
      </c>
      <c r="F259" s="196">
        <v>2673</v>
      </c>
      <c r="G259" s="196">
        <v>2940</v>
      </c>
    </row>
    <row r="260" spans="1:7" ht="15">
      <c r="A260" s="196">
        <v>259</v>
      </c>
      <c r="B260" s="196" t="s">
        <v>462</v>
      </c>
      <c r="C260" s="196" t="s">
        <v>465</v>
      </c>
      <c r="D260" s="196" t="s">
        <v>478</v>
      </c>
      <c r="E260" s="197">
        <v>42359</v>
      </c>
      <c r="F260" s="196">
        <v>15505</v>
      </c>
      <c r="G260" s="196">
        <v>17056</v>
      </c>
    </row>
    <row r="261" spans="1:7" ht="15">
      <c r="A261" s="196">
        <v>260</v>
      </c>
      <c r="B261" s="196" t="s">
        <v>462</v>
      </c>
      <c r="C261" s="196" t="s">
        <v>465</v>
      </c>
      <c r="D261" s="196" t="s">
        <v>475</v>
      </c>
      <c r="E261" s="197">
        <v>42849</v>
      </c>
      <c r="F261" s="196">
        <v>16881</v>
      </c>
      <c r="G261" s="196">
        <v>18569</v>
      </c>
    </row>
    <row r="262" spans="1:7" ht="15">
      <c r="A262" s="196">
        <v>261</v>
      </c>
      <c r="B262" s="196" t="s">
        <v>462</v>
      </c>
      <c r="C262" s="196" t="s">
        <v>470</v>
      </c>
      <c r="D262" s="196" t="s">
        <v>348</v>
      </c>
      <c r="E262" s="197">
        <v>42199</v>
      </c>
      <c r="F262" s="196">
        <v>24865</v>
      </c>
      <c r="G262" s="196">
        <v>27352</v>
      </c>
    </row>
    <row r="263" spans="1:7" ht="15">
      <c r="A263" s="196">
        <v>262</v>
      </c>
      <c r="B263" s="196" t="s">
        <v>469</v>
      </c>
      <c r="C263" s="196" t="s">
        <v>465</v>
      </c>
      <c r="D263" s="196" t="s">
        <v>348</v>
      </c>
      <c r="E263" s="197">
        <v>42095</v>
      </c>
      <c r="F263" s="196">
        <v>10275</v>
      </c>
      <c r="G263" s="196">
        <v>11303</v>
      </c>
    </row>
    <row r="264" spans="1:7" ht="15">
      <c r="A264" s="196">
        <v>263</v>
      </c>
      <c r="B264" s="196" t="s">
        <v>469</v>
      </c>
      <c r="C264" s="196" t="s">
        <v>470</v>
      </c>
      <c r="D264" s="196" t="s">
        <v>344</v>
      </c>
      <c r="E264" s="197">
        <v>42804</v>
      </c>
      <c r="F264" s="196">
        <v>27039</v>
      </c>
      <c r="G264" s="196">
        <v>29743</v>
      </c>
    </row>
    <row r="265" spans="1:7" ht="15">
      <c r="A265" s="196">
        <v>264</v>
      </c>
      <c r="B265" s="196" t="s">
        <v>462</v>
      </c>
      <c r="C265" s="196" t="s">
        <v>463</v>
      </c>
      <c r="D265" s="196" t="s">
        <v>348</v>
      </c>
      <c r="E265" s="197">
        <v>42710</v>
      </c>
      <c r="F265" s="196">
        <v>23980</v>
      </c>
      <c r="G265" s="196">
        <v>26378</v>
      </c>
    </row>
    <row r="266" spans="1:7" ht="15">
      <c r="A266" s="196">
        <v>265</v>
      </c>
      <c r="B266" s="196" t="s">
        <v>464</v>
      </c>
      <c r="C266" s="196" t="s">
        <v>470</v>
      </c>
      <c r="D266" s="196" t="s">
        <v>474</v>
      </c>
      <c r="E266" s="197">
        <v>42616</v>
      </c>
      <c r="F266" s="196">
        <v>25536</v>
      </c>
      <c r="G266" s="196">
        <v>28090</v>
      </c>
    </row>
    <row r="267" spans="1:7" ht="15">
      <c r="A267" s="196">
        <v>266</v>
      </c>
      <c r="B267" s="196" t="s">
        <v>462</v>
      </c>
      <c r="C267" s="196" t="s">
        <v>463</v>
      </c>
      <c r="D267" s="196" t="s">
        <v>346</v>
      </c>
      <c r="E267" s="197">
        <v>42162</v>
      </c>
      <c r="F267" s="196">
        <v>11774</v>
      </c>
      <c r="G267" s="196">
        <v>12951</v>
      </c>
    </row>
    <row r="268" spans="1:7" ht="15">
      <c r="A268" s="196">
        <v>267</v>
      </c>
      <c r="B268" s="196" t="s">
        <v>473</v>
      </c>
      <c r="C268" s="196" t="s">
        <v>470</v>
      </c>
      <c r="D268" s="196" t="s">
        <v>344</v>
      </c>
      <c r="E268" s="197">
        <v>42340</v>
      </c>
      <c r="F268" s="196">
        <v>1481</v>
      </c>
      <c r="G268" s="196">
        <v>1629</v>
      </c>
    </row>
    <row r="269" spans="1:7" ht="15">
      <c r="A269" s="196">
        <v>268</v>
      </c>
      <c r="B269" s="196" t="s">
        <v>469</v>
      </c>
      <c r="C269" s="196" t="s">
        <v>470</v>
      </c>
      <c r="D269" s="196" t="s">
        <v>339</v>
      </c>
      <c r="E269" s="197">
        <v>42217</v>
      </c>
      <c r="F269" s="196">
        <v>19932</v>
      </c>
      <c r="G269" s="196">
        <v>21925</v>
      </c>
    </row>
    <row r="270" spans="1:7" ht="15">
      <c r="A270" s="196">
        <v>269</v>
      </c>
      <c r="B270" s="196" t="s">
        <v>462</v>
      </c>
      <c r="C270" s="196" t="s">
        <v>465</v>
      </c>
      <c r="D270" s="196" t="s">
        <v>474</v>
      </c>
      <c r="E270" s="197">
        <v>42805</v>
      </c>
      <c r="F270" s="196">
        <v>18008</v>
      </c>
      <c r="G270" s="196">
        <v>19809</v>
      </c>
    </row>
    <row r="271" spans="1:7" ht="15">
      <c r="A271" s="196">
        <v>270</v>
      </c>
      <c r="B271" s="196" t="s">
        <v>469</v>
      </c>
      <c r="C271" s="196" t="s">
        <v>465</v>
      </c>
      <c r="D271" s="196" t="s">
        <v>350</v>
      </c>
      <c r="E271" s="197">
        <v>42229</v>
      </c>
      <c r="F271" s="196">
        <v>20789</v>
      </c>
      <c r="G271" s="196">
        <v>22868</v>
      </c>
    </row>
    <row r="272" spans="1:7" ht="15">
      <c r="A272" s="196">
        <v>271</v>
      </c>
      <c r="B272" s="196" t="s">
        <v>471</v>
      </c>
      <c r="C272" s="196" t="s">
        <v>465</v>
      </c>
      <c r="D272" s="196" t="s">
        <v>344</v>
      </c>
      <c r="E272" s="197">
        <v>42332</v>
      </c>
      <c r="F272" s="196">
        <v>18473</v>
      </c>
      <c r="G272" s="196">
        <v>20320</v>
      </c>
    </row>
    <row r="273" spans="1:7" ht="15">
      <c r="A273" s="196">
        <v>272</v>
      </c>
      <c r="B273" s="196" t="s">
        <v>464</v>
      </c>
      <c r="C273" s="196" t="s">
        <v>470</v>
      </c>
      <c r="D273" s="196" t="s">
        <v>350</v>
      </c>
      <c r="E273" s="197">
        <v>42671</v>
      </c>
      <c r="F273" s="196">
        <v>6942</v>
      </c>
      <c r="G273" s="196">
        <v>7636</v>
      </c>
    </row>
    <row r="274" spans="1:7" ht="15">
      <c r="A274" s="196">
        <v>273</v>
      </c>
      <c r="B274" s="196" t="s">
        <v>473</v>
      </c>
      <c r="C274" s="196" t="s">
        <v>465</v>
      </c>
      <c r="D274" s="196" t="s">
        <v>475</v>
      </c>
      <c r="E274" s="197">
        <v>42661</v>
      </c>
      <c r="F274" s="196">
        <v>11884</v>
      </c>
      <c r="G274" s="196">
        <v>13072</v>
      </c>
    </row>
    <row r="275" spans="1:7" ht="15">
      <c r="A275" s="196">
        <v>274</v>
      </c>
      <c r="B275" s="196" t="s">
        <v>469</v>
      </c>
      <c r="C275" s="196" t="s">
        <v>468</v>
      </c>
      <c r="D275" s="196" t="s">
        <v>472</v>
      </c>
      <c r="E275" s="197">
        <v>42291</v>
      </c>
      <c r="F275" s="196">
        <v>12166</v>
      </c>
      <c r="G275" s="196">
        <v>13383</v>
      </c>
    </row>
    <row r="276" spans="1:7" ht="15">
      <c r="A276" s="196">
        <v>275</v>
      </c>
      <c r="B276" s="196" t="s">
        <v>462</v>
      </c>
      <c r="C276" s="196" t="s">
        <v>463</v>
      </c>
      <c r="D276" s="196" t="s">
        <v>472</v>
      </c>
      <c r="E276" s="197">
        <v>42728</v>
      </c>
      <c r="F276" s="196">
        <v>20811</v>
      </c>
      <c r="G276" s="196">
        <v>22892</v>
      </c>
    </row>
    <row r="277" spans="1:7" ht="15">
      <c r="A277" s="196">
        <v>276</v>
      </c>
      <c r="B277" s="196" t="s">
        <v>469</v>
      </c>
      <c r="C277" s="196" t="s">
        <v>465</v>
      </c>
      <c r="D277" s="196" t="s">
        <v>466</v>
      </c>
      <c r="E277" s="197">
        <v>42131</v>
      </c>
      <c r="F277" s="196">
        <v>10548</v>
      </c>
      <c r="G277" s="196">
        <v>11603</v>
      </c>
    </row>
    <row r="278" spans="1:7" ht="15">
      <c r="A278" s="196">
        <v>277</v>
      </c>
      <c r="B278" s="196" t="s">
        <v>467</v>
      </c>
      <c r="C278" s="196" t="s">
        <v>468</v>
      </c>
      <c r="D278" s="196" t="s">
        <v>480</v>
      </c>
      <c r="E278" s="197">
        <v>41963</v>
      </c>
      <c r="F278" s="196">
        <v>20571</v>
      </c>
      <c r="G278" s="196">
        <v>22628</v>
      </c>
    </row>
    <row r="279" spans="1:7" ht="15">
      <c r="A279" s="196">
        <v>278</v>
      </c>
      <c r="B279" s="196" t="s">
        <v>462</v>
      </c>
      <c r="C279" s="196" t="s">
        <v>470</v>
      </c>
      <c r="D279" s="196" t="s">
        <v>339</v>
      </c>
      <c r="E279" s="197">
        <v>41942</v>
      </c>
      <c r="F279" s="196">
        <v>24624</v>
      </c>
      <c r="G279" s="196">
        <v>27086</v>
      </c>
    </row>
    <row r="280" spans="1:7" ht="15">
      <c r="A280" s="196">
        <v>279</v>
      </c>
      <c r="B280" s="196" t="s">
        <v>473</v>
      </c>
      <c r="C280" s="196" t="s">
        <v>470</v>
      </c>
      <c r="D280" s="196" t="s">
        <v>474</v>
      </c>
      <c r="E280" s="197">
        <v>42110</v>
      </c>
      <c r="F280" s="196">
        <v>4408</v>
      </c>
      <c r="G280" s="196">
        <v>4849</v>
      </c>
    </row>
    <row r="281" spans="1:7" ht="15">
      <c r="A281" s="196">
        <v>280</v>
      </c>
      <c r="B281" s="196" t="s">
        <v>471</v>
      </c>
      <c r="C281" s="196" t="s">
        <v>465</v>
      </c>
      <c r="D281" s="196" t="s">
        <v>478</v>
      </c>
      <c r="E281" s="197">
        <v>42343</v>
      </c>
      <c r="F281" s="196">
        <v>17046</v>
      </c>
      <c r="G281" s="196">
        <v>18751</v>
      </c>
    </row>
    <row r="282" spans="1:7" ht="15">
      <c r="A282" s="196">
        <v>281</v>
      </c>
      <c r="B282" s="196" t="s">
        <v>471</v>
      </c>
      <c r="C282" s="196" t="s">
        <v>470</v>
      </c>
      <c r="D282" s="196" t="s">
        <v>344</v>
      </c>
      <c r="E282" s="197">
        <v>42319</v>
      </c>
      <c r="F282" s="196">
        <v>1481</v>
      </c>
      <c r="G282" s="196">
        <v>1629</v>
      </c>
    </row>
    <row r="283" spans="1:7" ht="15">
      <c r="A283" s="196">
        <v>282</v>
      </c>
      <c r="B283" s="196" t="s">
        <v>464</v>
      </c>
      <c r="C283" s="196" t="s">
        <v>463</v>
      </c>
      <c r="D283" s="196" t="s">
        <v>344</v>
      </c>
      <c r="E283" s="197">
        <v>42790</v>
      </c>
      <c r="F283" s="196">
        <v>1568</v>
      </c>
      <c r="G283" s="196">
        <v>1725</v>
      </c>
    </row>
    <row r="284" spans="1:7" ht="15">
      <c r="A284" s="196">
        <v>283</v>
      </c>
      <c r="B284" s="196" t="s">
        <v>467</v>
      </c>
      <c r="C284" s="196" t="s">
        <v>468</v>
      </c>
      <c r="D284" s="196" t="s">
        <v>472</v>
      </c>
      <c r="E284" s="197">
        <v>42730</v>
      </c>
      <c r="F284" s="196">
        <v>2796</v>
      </c>
      <c r="G284" s="196">
        <v>3076</v>
      </c>
    </row>
    <row r="285" spans="1:7" ht="15">
      <c r="A285" s="196">
        <v>284</v>
      </c>
      <c r="B285" s="196" t="s">
        <v>471</v>
      </c>
      <c r="C285" s="196" t="s">
        <v>468</v>
      </c>
      <c r="D285" s="196" t="s">
        <v>479</v>
      </c>
      <c r="E285" s="197">
        <v>42536</v>
      </c>
      <c r="F285" s="196">
        <v>5129</v>
      </c>
      <c r="G285" s="196">
        <v>5642</v>
      </c>
    </row>
    <row r="286" spans="1:7" ht="15">
      <c r="A286" s="196">
        <v>285</v>
      </c>
      <c r="B286" s="196" t="s">
        <v>473</v>
      </c>
      <c r="C286" s="196" t="s">
        <v>463</v>
      </c>
      <c r="D286" s="196" t="s">
        <v>475</v>
      </c>
      <c r="E286" s="197">
        <v>42279</v>
      </c>
      <c r="F286" s="196">
        <v>5706</v>
      </c>
      <c r="G286" s="196">
        <v>6277</v>
      </c>
    </row>
    <row r="287" spans="1:7" ht="15">
      <c r="A287" s="196">
        <v>286</v>
      </c>
      <c r="B287" s="196" t="s">
        <v>462</v>
      </c>
      <c r="C287" s="196" t="s">
        <v>463</v>
      </c>
      <c r="D287" s="196" t="s">
        <v>476</v>
      </c>
      <c r="E287" s="197">
        <v>42802</v>
      </c>
      <c r="F287" s="196">
        <v>2993</v>
      </c>
      <c r="G287" s="196">
        <v>3292</v>
      </c>
    </row>
    <row r="288" spans="1:7" ht="15">
      <c r="A288" s="196">
        <v>287</v>
      </c>
      <c r="B288" s="196" t="s">
        <v>469</v>
      </c>
      <c r="C288" s="196" t="s">
        <v>463</v>
      </c>
      <c r="D288" s="196" t="s">
        <v>476</v>
      </c>
      <c r="E288" s="197">
        <v>42857</v>
      </c>
      <c r="F288" s="196">
        <v>2521</v>
      </c>
      <c r="G288" s="196">
        <v>2773</v>
      </c>
    </row>
    <row r="289" spans="1:7" ht="15">
      <c r="A289" s="196">
        <v>288</v>
      </c>
      <c r="B289" s="196" t="s">
        <v>473</v>
      </c>
      <c r="C289" s="196" t="s">
        <v>470</v>
      </c>
      <c r="D289" s="196" t="s">
        <v>339</v>
      </c>
      <c r="E289" s="197">
        <v>42114</v>
      </c>
      <c r="F289" s="196">
        <v>1069</v>
      </c>
      <c r="G289" s="196">
        <v>1176</v>
      </c>
    </row>
  </sheetData>
  <customSheetViews>
    <customSheetView guid="{32169818-EA48-4D2C-804F-10AFEFD0B9B2}" scale="115" showGridLines="0">
      <selection activeCell="E6" sqref="E6"/>
      <pageMargins left="0.75" right="0.75" top="1" bottom="1" header="0.5" footer="0.5"/>
      <printOptions headings="1" gridLines="1"/>
      <pageSetup scale="90" orientation="landscape" horizontalDpi="300" verticalDpi="300" r:id="rId1"/>
      <headerFooter alignWithMargins="0">
        <oddFooter>&amp;L&amp;A&amp;C&amp;BPragati Software Pvt. Ltd. Confidential&amp;B&amp;RPage &amp;P</oddFooter>
      </headerFooter>
    </customSheetView>
  </customSheetViews>
  <phoneticPr fontId="0" type="noConversion"/>
  <printOptions headings="1" gridLines="1"/>
  <pageMargins left="0.75" right="0.75" top="1" bottom="1" header="0.5" footer="0.5"/>
  <pageSetup scale="90" orientation="landscape" horizontalDpi="300" verticalDpi="300" r:id="rId2"/>
  <headerFooter alignWithMargins="0">
    <oddFooter>&amp;L&amp;A&amp;C&amp;BPragati Software Pvt. Ltd. Confidential&amp;B&amp;RPage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118"/>
  <sheetViews>
    <sheetView showGridLines="0" zoomScale="115" zoomScaleNormal="115" workbookViewId="0">
      <selection activeCell="F26" sqref="F26"/>
    </sheetView>
  </sheetViews>
  <sheetFormatPr defaultColWidth="9.28515625" defaultRowHeight="12.75"/>
  <cols>
    <col min="1" max="1" width="12" style="1" customWidth="1"/>
    <col min="2" max="2" width="12.28515625" style="1" customWidth="1"/>
    <col min="3" max="3" width="12.42578125" style="1" customWidth="1"/>
    <col min="4" max="4" width="8.42578125" style="1" customWidth="1"/>
    <col min="5" max="5" width="8.7109375" style="1" customWidth="1"/>
    <col min="6" max="6" width="11" style="1" customWidth="1"/>
    <col min="7" max="7" width="11.28515625" style="1" customWidth="1"/>
    <col min="8" max="8" width="10.7109375" style="1" customWidth="1"/>
    <col min="9" max="21" width="9.28515625" style="1"/>
    <col min="22" max="22" width="13.28515625" style="1" customWidth="1"/>
    <col min="23" max="16384" width="9.28515625" style="1"/>
  </cols>
  <sheetData>
    <row r="1" spans="1:22" ht="15" thickBot="1">
      <c r="A1" s="31" t="s">
        <v>43</v>
      </c>
      <c r="B1" s="31" t="s">
        <v>44</v>
      </c>
      <c r="C1" s="31" t="s">
        <v>45</v>
      </c>
      <c r="D1" s="31" t="s">
        <v>46</v>
      </c>
      <c r="E1" s="31" t="s">
        <v>47</v>
      </c>
      <c r="F1" s="31" t="s">
        <v>48</v>
      </c>
      <c r="G1" s="31" t="s">
        <v>49</v>
      </c>
      <c r="H1" s="31" t="s">
        <v>50</v>
      </c>
    </row>
    <row r="2" spans="1:22" ht="14.25">
      <c r="D2" s="71" t="s">
        <v>71</v>
      </c>
      <c r="E2" s="71" t="s">
        <v>251</v>
      </c>
    </row>
    <row r="3" spans="1:22" ht="14.25">
      <c r="D3" s="71" t="s">
        <v>51</v>
      </c>
      <c r="E3" s="1" t="s">
        <v>266</v>
      </c>
    </row>
    <row r="4" spans="1:22" ht="15">
      <c r="D4"/>
    </row>
    <row r="6" spans="1:22" ht="15.75" thickBot="1">
      <c r="A6" s="31" t="s">
        <v>43</v>
      </c>
      <c r="B6" s="31" t="s">
        <v>44</v>
      </c>
      <c r="C6" s="31" t="s">
        <v>45</v>
      </c>
      <c r="D6" s="31" t="s">
        <v>46</v>
      </c>
      <c r="E6" s="31" t="s">
        <v>47</v>
      </c>
      <c r="F6" s="31" t="s">
        <v>48</v>
      </c>
      <c r="G6" s="31" t="s">
        <v>49</v>
      </c>
      <c r="H6" s="31" t="s">
        <v>50</v>
      </c>
      <c r="J6"/>
      <c r="K6"/>
      <c r="L6"/>
      <c r="M6"/>
      <c r="N6"/>
      <c r="O6"/>
      <c r="P6"/>
      <c r="Q6"/>
    </row>
    <row r="7" spans="1:22" ht="15">
      <c r="A7" s="33">
        <v>1</v>
      </c>
      <c r="B7" s="34" t="s">
        <v>53</v>
      </c>
      <c r="C7" s="34" t="s">
        <v>54</v>
      </c>
      <c r="D7" s="34" t="s">
        <v>51</v>
      </c>
      <c r="E7" s="34" t="s">
        <v>55</v>
      </c>
      <c r="F7" s="35">
        <v>70</v>
      </c>
      <c r="G7" s="36">
        <v>30376</v>
      </c>
      <c r="H7" s="37">
        <v>9000</v>
      </c>
      <c r="J7"/>
      <c r="K7"/>
      <c r="L7"/>
      <c r="M7"/>
      <c r="N7"/>
      <c r="O7"/>
      <c r="P7"/>
      <c r="Q7"/>
    </row>
    <row r="8" spans="1:22" ht="15">
      <c r="A8" s="33">
        <v>2</v>
      </c>
      <c r="B8" s="34" t="s">
        <v>56</v>
      </c>
      <c r="C8" s="34" t="s">
        <v>57</v>
      </c>
      <c r="D8" s="34" t="s">
        <v>58</v>
      </c>
      <c r="E8" s="34" t="s">
        <v>59</v>
      </c>
      <c r="F8" s="35">
        <v>60</v>
      </c>
      <c r="G8" s="36">
        <v>32435</v>
      </c>
      <c r="H8" s="37">
        <v>8100</v>
      </c>
      <c r="J8"/>
      <c r="K8"/>
      <c r="L8"/>
      <c r="M8"/>
      <c r="N8"/>
      <c r="O8"/>
      <c r="P8"/>
      <c r="Q8"/>
    </row>
    <row r="9" spans="1:22" ht="15">
      <c r="A9" s="33">
        <v>3</v>
      </c>
      <c r="B9" s="34" t="s">
        <v>60</v>
      </c>
      <c r="C9" s="34" t="s">
        <v>61</v>
      </c>
      <c r="D9" s="34" t="s">
        <v>51</v>
      </c>
      <c r="E9" s="34" t="s">
        <v>59</v>
      </c>
      <c r="F9" s="35">
        <v>70</v>
      </c>
      <c r="G9" s="36">
        <v>30376</v>
      </c>
      <c r="H9" s="37">
        <v>9000</v>
      </c>
      <c r="J9"/>
      <c r="K9"/>
      <c r="L9"/>
      <c r="M9"/>
      <c r="N9"/>
      <c r="O9"/>
      <c r="P9"/>
      <c r="Q9"/>
    </row>
    <row r="10" spans="1:22" ht="15">
      <c r="A10" s="33">
        <v>4</v>
      </c>
      <c r="B10" s="34" t="s">
        <v>62</v>
      </c>
      <c r="C10" s="34" t="s">
        <v>63</v>
      </c>
      <c r="D10" s="34" t="s">
        <v>64</v>
      </c>
      <c r="E10" s="34" t="s">
        <v>59</v>
      </c>
      <c r="F10" s="35">
        <v>20</v>
      </c>
      <c r="G10" s="36">
        <v>28326</v>
      </c>
      <c r="H10" s="37">
        <v>9000</v>
      </c>
      <c r="J10"/>
      <c r="K10"/>
      <c r="L10"/>
      <c r="M10"/>
      <c r="N10"/>
      <c r="O10"/>
      <c r="P10"/>
      <c r="Q10"/>
    </row>
    <row r="11" spans="1:22" ht="15">
      <c r="A11" s="33">
        <v>5</v>
      </c>
      <c r="B11" s="34" t="s">
        <v>65</v>
      </c>
      <c r="C11" s="34" t="s">
        <v>66</v>
      </c>
      <c r="D11" s="34" t="s">
        <v>52</v>
      </c>
      <c r="E11" s="34" t="s">
        <v>59</v>
      </c>
      <c r="F11" s="35">
        <v>50</v>
      </c>
      <c r="G11" s="36">
        <v>30225</v>
      </c>
      <c r="H11" s="37">
        <v>9000</v>
      </c>
      <c r="J11"/>
      <c r="K11"/>
      <c r="L11"/>
      <c r="M11"/>
      <c r="N11"/>
      <c r="O11"/>
      <c r="P11"/>
      <c r="Q11"/>
    </row>
    <row r="12" spans="1:22" ht="15">
      <c r="A12" s="33">
        <v>6</v>
      </c>
      <c r="B12" s="34" t="s">
        <v>67</v>
      </c>
      <c r="C12" s="34" t="s">
        <v>68</v>
      </c>
      <c r="D12" s="34" t="s">
        <v>51</v>
      </c>
      <c r="E12" s="34" t="s">
        <v>59</v>
      </c>
      <c r="F12" s="35">
        <v>70</v>
      </c>
      <c r="G12" s="36">
        <v>32106</v>
      </c>
      <c r="H12" s="37">
        <v>11000</v>
      </c>
      <c r="J12"/>
      <c r="K12"/>
      <c r="L12"/>
      <c r="M12"/>
      <c r="N12"/>
      <c r="O12"/>
      <c r="P12"/>
      <c r="Q12"/>
    </row>
    <row r="13" spans="1:22" ht="15">
      <c r="A13" s="33">
        <v>7</v>
      </c>
      <c r="B13" s="34" t="s">
        <v>69</v>
      </c>
      <c r="C13" s="34" t="s">
        <v>66</v>
      </c>
      <c r="D13" s="34" t="s">
        <v>64</v>
      </c>
      <c r="E13" s="34" t="s">
        <v>59</v>
      </c>
      <c r="F13" s="35">
        <v>20</v>
      </c>
      <c r="G13" s="36">
        <v>33729</v>
      </c>
      <c r="H13" s="37">
        <v>5300</v>
      </c>
      <c r="J13"/>
      <c r="K13"/>
      <c r="L13"/>
      <c r="M13"/>
      <c r="N13"/>
      <c r="O13"/>
      <c r="P13"/>
      <c r="Q13"/>
      <c r="R13" s="32"/>
      <c r="S13" s="32"/>
      <c r="T13" s="32"/>
      <c r="U13" s="32"/>
      <c r="V13" s="32"/>
    </row>
    <row r="14" spans="1:22" ht="15">
      <c r="A14" s="33">
        <v>8</v>
      </c>
      <c r="B14" s="34" t="s">
        <v>70</v>
      </c>
      <c r="C14" s="34" t="s">
        <v>61</v>
      </c>
      <c r="D14" s="34" t="s">
        <v>71</v>
      </c>
      <c r="E14" s="34" t="s">
        <v>59</v>
      </c>
      <c r="F14" s="35">
        <v>10</v>
      </c>
      <c r="G14" s="36">
        <v>32107</v>
      </c>
      <c r="H14" s="37">
        <v>11000</v>
      </c>
      <c r="J14"/>
      <c r="K14"/>
      <c r="L14"/>
      <c r="M14"/>
      <c r="N14"/>
      <c r="O14"/>
      <c r="P14"/>
      <c r="Q14"/>
      <c r="R14" s="39"/>
      <c r="S14" s="39"/>
      <c r="T14" s="39"/>
      <c r="V14" s="40"/>
    </row>
    <row r="15" spans="1:22" ht="15">
      <c r="A15" s="33">
        <v>9</v>
      </c>
      <c r="B15" s="34" t="s">
        <v>72</v>
      </c>
      <c r="C15" s="34" t="s">
        <v>73</v>
      </c>
      <c r="D15" s="34" t="s">
        <v>64</v>
      </c>
      <c r="E15" s="34" t="s">
        <v>55</v>
      </c>
      <c r="F15" s="35">
        <v>20</v>
      </c>
      <c r="G15" s="36">
        <v>29183</v>
      </c>
      <c r="H15" s="37">
        <v>7000</v>
      </c>
      <c r="J15"/>
      <c r="K15"/>
      <c r="L15"/>
      <c r="M15"/>
      <c r="N15"/>
      <c r="O15"/>
      <c r="P15"/>
      <c r="Q15"/>
      <c r="R15" s="39"/>
      <c r="S15" s="39"/>
      <c r="T15" s="39"/>
      <c r="V15" s="40"/>
    </row>
    <row r="16" spans="1:22" ht="15">
      <c r="A16" s="33">
        <v>10</v>
      </c>
      <c r="B16" s="34" t="s">
        <v>72</v>
      </c>
      <c r="C16" s="34" t="s">
        <v>74</v>
      </c>
      <c r="D16" s="34" t="s">
        <v>75</v>
      </c>
      <c r="E16" s="34" t="s">
        <v>76</v>
      </c>
      <c r="F16" s="35">
        <v>30</v>
      </c>
      <c r="G16" s="36">
        <v>32607</v>
      </c>
      <c r="H16" s="37">
        <v>9900</v>
      </c>
      <c r="J16"/>
      <c r="K16"/>
      <c r="L16"/>
      <c r="M16"/>
      <c r="N16"/>
      <c r="O16"/>
      <c r="P16"/>
      <c r="Q16"/>
      <c r="R16" s="39"/>
      <c r="S16" s="39"/>
      <c r="T16" s="39"/>
      <c r="V16" s="40"/>
    </row>
    <row r="17" spans="1:22" ht="15">
      <c r="A17" s="33">
        <v>11</v>
      </c>
      <c r="B17" s="34" t="s">
        <v>77</v>
      </c>
      <c r="C17" s="34" t="s">
        <v>78</v>
      </c>
      <c r="D17" s="34" t="s">
        <v>71</v>
      </c>
      <c r="E17" s="34" t="s">
        <v>79</v>
      </c>
      <c r="F17" s="35">
        <v>10</v>
      </c>
      <c r="G17" s="36">
        <v>30225</v>
      </c>
      <c r="H17" s="37">
        <v>11000</v>
      </c>
      <c r="J17"/>
      <c r="K17"/>
      <c r="L17"/>
      <c r="M17"/>
      <c r="N17"/>
      <c r="O17"/>
      <c r="P17"/>
      <c r="Q17"/>
      <c r="R17" s="39"/>
      <c r="S17" s="39"/>
      <c r="T17" s="39"/>
      <c r="V17" s="40"/>
    </row>
    <row r="18" spans="1:22" ht="15">
      <c r="A18" s="33">
        <v>12</v>
      </c>
      <c r="B18" s="34" t="s">
        <v>80</v>
      </c>
      <c r="C18" s="34" t="s">
        <v>81</v>
      </c>
      <c r="D18" s="34" t="s">
        <v>52</v>
      </c>
      <c r="E18" s="34" t="s">
        <v>59</v>
      </c>
      <c r="F18" s="35">
        <v>50</v>
      </c>
      <c r="G18" s="36">
        <v>32609</v>
      </c>
      <c r="H18" s="37">
        <v>9900</v>
      </c>
      <c r="J18"/>
      <c r="K18"/>
      <c r="L18"/>
      <c r="M18"/>
      <c r="N18"/>
      <c r="O18"/>
      <c r="P18"/>
      <c r="Q18"/>
      <c r="R18" s="39"/>
      <c r="S18" s="39"/>
      <c r="T18" s="39"/>
      <c r="V18" s="40"/>
    </row>
    <row r="19" spans="1:22" ht="15">
      <c r="A19" s="33">
        <v>13</v>
      </c>
      <c r="B19" s="34" t="s">
        <v>82</v>
      </c>
      <c r="C19" s="34" t="s">
        <v>83</v>
      </c>
      <c r="D19" s="34" t="s">
        <v>84</v>
      </c>
      <c r="E19" s="34" t="s">
        <v>79</v>
      </c>
      <c r="F19" s="35">
        <v>40</v>
      </c>
      <c r="G19" s="36">
        <v>30225</v>
      </c>
      <c r="H19" s="37">
        <v>14000</v>
      </c>
      <c r="J19"/>
      <c r="K19"/>
      <c r="L19"/>
      <c r="M19"/>
      <c r="N19"/>
      <c r="O19"/>
      <c r="P19"/>
      <c r="Q19"/>
      <c r="R19" s="39"/>
      <c r="S19" s="39"/>
      <c r="T19" s="39"/>
      <c r="V19" s="40"/>
    </row>
    <row r="20" spans="1:22" ht="15">
      <c r="A20" s="33">
        <v>14</v>
      </c>
      <c r="B20" s="34" t="s">
        <v>85</v>
      </c>
      <c r="C20" s="34" t="s">
        <v>86</v>
      </c>
      <c r="D20" s="34" t="s">
        <v>64</v>
      </c>
      <c r="E20" s="34" t="s">
        <v>59</v>
      </c>
      <c r="F20" s="35">
        <v>20</v>
      </c>
      <c r="G20" s="36">
        <v>32446</v>
      </c>
      <c r="H20" s="37">
        <v>10000</v>
      </c>
      <c r="J20"/>
      <c r="K20"/>
      <c r="L20"/>
      <c r="M20"/>
      <c r="N20"/>
      <c r="O20"/>
      <c r="P20"/>
      <c r="Q20"/>
      <c r="R20" s="39"/>
      <c r="S20" s="39"/>
      <c r="T20" s="39"/>
      <c r="V20" s="40"/>
    </row>
    <row r="21" spans="1:22" ht="15">
      <c r="A21" s="33">
        <v>15</v>
      </c>
      <c r="B21" s="34" t="s">
        <v>87</v>
      </c>
      <c r="C21" s="34" t="s">
        <v>88</v>
      </c>
      <c r="D21" s="34" t="s">
        <v>71</v>
      </c>
      <c r="E21" s="34" t="s">
        <v>76</v>
      </c>
      <c r="F21" s="35">
        <v>10</v>
      </c>
      <c r="G21" s="36">
        <v>32444</v>
      </c>
      <c r="H21" s="37">
        <v>10000</v>
      </c>
      <c r="J21"/>
      <c r="K21"/>
      <c r="L21"/>
      <c r="M21"/>
      <c r="N21"/>
      <c r="O21"/>
      <c r="P21"/>
      <c r="Q21"/>
      <c r="R21" s="39"/>
      <c r="S21" s="39"/>
      <c r="T21" s="39"/>
      <c r="V21" s="40"/>
    </row>
    <row r="22" spans="1:22" ht="15">
      <c r="A22" s="33">
        <v>16</v>
      </c>
      <c r="B22" s="34" t="s">
        <v>89</v>
      </c>
      <c r="C22" s="34" t="s">
        <v>90</v>
      </c>
      <c r="D22" s="34" t="s">
        <v>58</v>
      </c>
      <c r="E22" s="34" t="s">
        <v>55</v>
      </c>
      <c r="F22" s="35">
        <v>60</v>
      </c>
      <c r="G22" s="36">
        <v>33102</v>
      </c>
      <c r="H22" s="37">
        <v>7900</v>
      </c>
      <c r="J22"/>
      <c r="K22"/>
      <c r="L22"/>
      <c r="M22"/>
      <c r="N22"/>
      <c r="O22"/>
      <c r="P22"/>
      <c r="Q22"/>
      <c r="R22" s="39"/>
      <c r="S22" s="39"/>
      <c r="T22" s="39"/>
      <c r="V22" s="40"/>
    </row>
    <row r="23" spans="1:22" ht="15">
      <c r="A23" s="33">
        <v>17</v>
      </c>
      <c r="B23" s="34" t="s">
        <v>91</v>
      </c>
      <c r="C23" s="34" t="s">
        <v>92</v>
      </c>
      <c r="D23" s="34" t="s">
        <v>51</v>
      </c>
      <c r="E23" s="34" t="s">
        <v>79</v>
      </c>
      <c r="F23" s="35">
        <v>70</v>
      </c>
      <c r="G23" s="36">
        <v>31791</v>
      </c>
      <c r="H23" s="37">
        <v>11000</v>
      </c>
      <c r="J23"/>
      <c r="K23"/>
      <c r="L23"/>
      <c r="M23"/>
      <c r="N23"/>
      <c r="O23"/>
      <c r="P23"/>
      <c r="Q23"/>
      <c r="R23" s="39"/>
      <c r="S23" s="39"/>
      <c r="T23" s="39"/>
      <c r="V23" s="40"/>
    </row>
    <row r="24" spans="1:22" ht="15">
      <c r="A24" s="33">
        <v>18</v>
      </c>
      <c r="B24" s="34" t="s">
        <v>93</v>
      </c>
      <c r="C24" s="34" t="s">
        <v>94</v>
      </c>
      <c r="D24" s="34" t="s">
        <v>75</v>
      </c>
      <c r="E24" s="34" t="s">
        <v>59</v>
      </c>
      <c r="F24" s="35">
        <v>30</v>
      </c>
      <c r="G24" s="36">
        <v>32443</v>
      </c>
      <c r="H24" s="37">
        <v>10000</v>
      </c>
      <c r="J24"/>
      <c r="K24"/>
      <c r="L24"/>
      <c r="M24"/>
      <c r="N24"/>
      <c r="O24"/>
      <c r="P24"/>
      <c r="Q24"/>
      <c r="R24" s="39"/>
      <c r="T24" s="39"/>
      <c r="V24" s="40"/>
    </row>
    <row r="25" spans="1:22" ht="15">
      <c r="A25" s="33">
        <v>19</v>
      </c>
      <c r="B25" s="34" t="s">
        <v>95</v>
      </c>
      <c r="C25" s="34" t="s">
        <v>96</v>
      </c>
      <c r="D25" s="34" t="s">
        <v>64</v>
      </c>
      <c r="E25" s="34" t="s">
        <v>59</v>
      </c>
      <c r="F25" s="35">
        <v>20</v>
      </c>
      <c r="G25" s="36">
        <v>36316</v>
      </c>
      <c r="H25" s="37">
        <v>3400</v>
      </c>
      <c r="J25"/>
      <c r="K25"/>
      <c r="L25"/>
      <c r="M25"/>
      <c r="N25"/>
      <c r="O25"/>
      <c r="P25"/>
      <c r="Q25"/>
      <c r="R25" s="39"/>
      <c r="S25" s="39"/>
      <c r="T25" s="39"/>
      <c r="V25" s="40"/>
    </row>
    <row r="26" spans="1:22" ht="15">
      <c r="A26" s="33">
        <v>20</v>
      </c>
      <c r="B26" s="34" t="s">
        <v>97</v>
      </c>
      <c r="C26" s="34" t="s">
        <v>98</v>
      </c>
      <c r="D26" s="34" t="s">
        <v>64</v>
      </c>
      <c r="E26" s="34" t="s">
        <v>79</v>
      </c>
      <c r="F26" s="35">
        <v>20</v>
      </c>
      <c r="G26" s="36">
        <v>32105</v>
      </c>
      <c r="H26" s="37">
        <v>11000</v>
      </c>
      <c r="J26"/>
      <c r="K26"/>
      <c r="L26"/>
      <c r="M26"/>
      <c r="N26"/>
      <c r="O26"/>
      <c r="P26"/>
      <c r="Q26"/>
      <c r="R26" s="39"/>
      <c r="S26" s="39"/>
      <c r="T26" s="39"/>
      <c r="V26" s="40"/>
    </row>
    <row r="27" spans="1:22" ht="15">
      <c r="A27" s="33">
        <v>21</v>
      </c>
      <c r="B27" s="34" t="s">
        <v>99</v>
      </c>
      <c r="C27" s="34" t="s">
        <v>100</v>
      </c>
      <c r="D27" s="34" t="s">
        <v>75</v>
      </c>
      <c r="E27" s="34" t="s">
        <v>55</v>
      </c>
      <c r="F27" s="35">
        <v>30</v>
      </c>
      <c r="G27" s="36">
        <v>30225</v>
      </c>
      <c r="H27" s="37">
        <v>9000</v>
      </c>
      <c r="J27"/>
      <c r="K27"/>
      <c r="L27"/>
      <c r="M27"/>
      <c r="N27"/>
      <c r="O27"/>
      <c r="P27"/>
      <c r="Q27"/>
      <c r="R27" s="39"/>
      <c r="S27" s="39"/>
      <c r="T27" s="39"/>
      <c r="V27" s="40"/>
    </row>
    <row r="28" spans="1:22" ht="15">
      <c r="A28" s="33">
        <v>22</v>
      </c>
      <c r="B28" s="34" t="s">
        <v>101</v>
      </c>
      <c r="C28" s="34" t="s">
        <v>102</v>
      </c>
      <c r="D28" s="34" t="s">
        <v>51</v>
      </c>
      <c r="E28" s="34" t="s">
        <v>76</v>
      </c>
      <c r="F28" s="35">
        <v>70</v>
      </c>
      <c r="G28" s="36">
        <v>35189</v>
      </c>
      <c r="H28" s="37">
        <v>5500</v>
      </c>
      <c r="J28"/>
      <c r="K28"/>
      <c r="L28"/>
      <c r="M28"/>
      <c r="N28"/>
      <c r="O28"/>
      <c r="P28"/>
      <c r="Q28"/>
      <c r="R28" s="39"/>
      <c r="S28" s="39"/>
      <c r="T28" s="39"/>
      <c r="V28" s="40"/>
    </row>
    <row r="29" spans="1:22" ht="15">
      <c r="A29" s="33">
        <v>23</v>
      </c>
      <c r="B29" s="34" t="s">
        <v>103</v>
      </c>
      <c r="C29" s="34" t="s">
        <v>61</v>
      </c>
      <c r="D29" s="34" t="s">
        <v>71</v>
      </c>
      <c r="E29" s="34" t="s">
        <v>79</v>
      </c>
      <c r="F29" s="35">
        <v>10</v>
      </c>
      <c r="G29" s="36">
        <v>32604</v>
      </c>
      <c r="H29" s="37">
        <v>9900</v>
      </c>
      <c r="J29"/>
      <c r="K29"/>
      <c r="L29"/>
      <c r="M29"/>
      <c r="N29"/>
      <c r="O29"/>
      <c r="P29"/>
      <c r="Q29"/>
      <c r="R29" s="39"/>
      <c r="S29" s="39"/>
      <c r="T29" s="39"/>
      <c r="V29" s="40"/>
    </row>
    <row r="30" spans="1:22" ht="15">
      <c r="A30" s="33">
        <v>24</v>
      </c>
      <c r="B30" s="34" t="s">
        <v>104</v>
      </c>
      <c r="C30" s="34" t="s">
        <v>105</v>
      </c>
      <c r="D30" s="34" t="s">
        <v>52</v>
      </c>
      <c r="E30" s="34" t="s">
        <v>59</v>
      </c>
      <c r="F30" s="35">
        <v>50</v>
      </c>
      <c r="G30" s="36">
        <v>32437</v>
      </c>
      <c r="H30" s="37">
        <v>11000</v>
      </c>
      <c r="J30"/>
      <c r="K30"/>
      <c r="L30"/>
      <c r="M30"/>
      <c r="N30"/>
      <c r="O30"/>
      <c r="P30"/>
      <c r="Q30"/>
      <c r="R30" s="39"/>
      <c r="S30" s="39"/>
      <c r="T30" s="39"/>
      <c r="V30" s="40"/>
    </row>
    <row r="31" spans="1:22" ht="15">
      <c r="A31" s="33">
        <v>25</v>
      </c>
      <c r="B31" s="34" t="s">
        <v>106</v>
      </c>
      <c r="C31" s="34" t="s">
        <v>94</v>
      </c>
      <c r="D31" s="34" t="s">
        <v>84</v>
      </c>
      <c r="E31" s="34" t="s">
        <v>76</v>
      </c>
      <c r="F31" s="35">
        <v>40</v>
      </c>
      <c r="G31" s="36">
        <v>35794</v>
      </c>
      <c r="H31" s="37">
        <v>6000</v>
      </c>
      <c r="J31"/>
      <c r="K31"/>
      <c r="L31"/>
      <c r="M31"/>
      <c r="N31"/>
      <c r="O31"/>
      <c r="P31"/>
      <c r="Q31"/>
      <c r="R31" s="39"/>
      <c r="S31" s="39"/>
      <c r="T31" s="39"/>
      <c r="V31" s="40"/>
    </row>
    <row r="32" spans="1:22" ht="15">
      <c r="A32" s="33">
        <v>26</v>
      </c>
      <c r="B32" s="34" t="s">
        <v>107</v>
      </c>
      <c r="C32" s="34" t="s">
        <v>108</v>
      </c>
      <c r="D32" s="34" t="s">
        <v>75</v>
      </c>
      <c r="E32" s="34" t="s">
        <v>76</v>
      </c>
      <c r="F32" s="35">
        <v>30</v>
      </c>
      <c r="G32" s="36">
        <v>36274</v>
      </c>
      <c r="H32" s="37">
        <v>4500</v>
      </c>
      <c r="J32"/>
      <c r="K32"/>
      <c r="L32"/>
      <c r="M32"/>
      <c r="N32"/>
      <c r="O32"/>
      <c r="P32"/>
      <c r="Q32"/>
      <c r="R32" s="39"/>
      <c r="S32" s="39"/>
      <c r="T32" s="39"/>
      <c r="V32" s="40"/>
    </row>
    <row r="33" spans="1:22" ht="15">
      <c r="A33" s="33">
        <v>27</v>
      </c>
      <c r="B33" s="34" t="s">
        <v>109</v>
      </c>
      <c r="C33" s="34" t="s">
        <v>110</v>
      </c>
      <c r="D33" s="34" t="s">
        <v>71</v>
      </c>
      <c r="E33" s="34" t="s">
        <v>59</v>
      </c>
      <c r="F33" s="35">
        <v>10</v>
      </c>
      <c r="G33" s="36">
        <v>33510</v>
      </c>
      <c r="H33" s="37">
        <v>9000</v>
      </c>
      <c r="J33"/>
      <c r="K33"/>
      <c r="L33"/>
      <c r="M33"/>
      <c r="N33"/>
      <c r="O33"/>
      <c r="P33"/>
      <c r="Q33"/>
      <c r="R33" s="39"/>
      <c r="S33" s="39"/>
      <c r="T33" s="39"/>
      <c r="V33" s="40"/>
    </row>
    <row r="34" spans="1:22" ht="15">
      <c r="A34" s="33">
        <v>28</v>
      </c>
      <c r="B34" s="34" t="s">
        <v>111</v>
      </c>
      <c r="C34" s="34" t="s">
        <v>112</v>
      </c>
      <c r="D34" s="34" t="s">
        <v>64</v>
      </c>
      <c r="E34" s="34" t="s">
        <v>79</v>
      </c>
      <c r="F34" s="35">
        <v>20</v>
      </c>
      <c r="G34" s="36">
        <v>35811</v>
      </c>
      <c r="H34" s="37">
        <v>10000</v>
      </c>
      <c r="J34"/>
      <c r="K34"/>
      <c r="L34"/>
      <c r="M34"/>
      <c r="N34"/>
      <c r="O34"/>
      <c r="P34"/>
      <c r="Q34"/>
      <c r="R34" s="39"/>
      <c r="S34" s="39"/>
      <c r="T34" s="39"/>
      <c r="V34" s="40"/>
    </row>
    <row r="35" spans="1:22" ht="15">
      <c r="A35" s="33">
        <v>29</v>
      </c>
      <c r="B35" s="34" t="s">
        <v>113</v>
      </c>
      <c r="C35" s="34" t="s">
        <v>114</v>
      </c>
      <c r="D35" s="34" t="s">
        <v>75</v>
      </c>
      <c r="E35" s="34" t="s">
        <v>76</v>
      </c>
      <c r="F35" s="35">
        <v>30</v>
      </c>
      <c r="G35" s="36">
        <v>32390</v>
      </c>
      <c r="H35" s="37">
        <v>7100</v>
      </c>
      <c r="J35"/>
      <c r="K35"/>
      <c r="L35"/>
      <c r="M35"/>
      <c r="N35"/>
      <c r="O35"/>
      <c r="P35"/>
      <c r="Q35"/>
      <c r="R35" s="39"/>
      <c r="S35" s="39"/>
      <c r="T35" s="39"/>
      <c r="V35" s="40"/>
    </row>
    <row r="36" spans="1:22" ht="15">
      <c r="A36" s="33">
        <v>30</v>
      </c>
      <c r="B36" s="34" t="s">
        <v>115</v>
      </c>
      <c r="C36" s="34" t="s">
        <v>116</v>
      </c>
      <c r="D36" s="34" t="s">
        <v>58</v>
      </c>
      <c r="E36" s="34" t="s">
        <v>79</v>
      </c>
      <c r="F36" s="35">
        <v>60</v>
      </c>
      <c r="G36" s="36">
        <v>31029</v>
      </c>
      <c r="H36" s="37">
        <v>8500</v>
      </c>
      <c r="J36"/>
      <c r="K36"/>
      <c r="L36"/>
      <c r="M36"/>
      <c r="N36"/>
      <c r="O36"/>
      <c r="P36"/>
      <c r="Q36"/>
      <c r="R36" s="39"/>
      <c r="S36" s="39"/>
      <c r="T36" s="39"/>
      <c r="V36" s="40"/>
    </row>
    <row r="37" spans="1:22" ht="15">
      <c r="A37" s="33">
        <v>31</v>
      </c>
      <c r="B37" s="34" t="s">
        <v>117</v>
      </c>
      <c r="C37" s="34" t="s">
        <v>118</v>
      </c>
      <c r="D37" s="34" t="s">
        <v>64</v>
      </c>
      <c r="E37" s="34" t="s">
        <v>79</v>
      </c>
      <c r="F37" s="35">
        <v>20</v>
      </c>
      <c r="G37" s="36">
        <v>32606</v>
      </c>
      <c r="H37" s="37">
        <v>9900</v>
      </c>
      <c r="J37"/>
      <c r="K37"/>
      <c r="L37"/>
      <c r="M37"/>
      <c r="N37"/>
      <c r="O37"/>
      <c r="P37"/>
      <c r="Q37"/>
      <c r="R37" s="39"/>
      <c r="S37" s="39"/>
      <c r="T37" s="39"/>
      <c r="V37" s="40"/>
    </row>
    <row r="38" spans="1:22" ht="15">
      <c r="A38" s="33">
        <v>32</v>
      </c>
      <c r="B38" s="34" t="s">
        <v>119</v>
      </c>
      <c r="C38" s="34" t="s">
        <v>120</v>
      </c>
      <c r="D38" s="34" t="s">
        <v>71</v>
      </c>
      <c r="E38" s="34" t="s">
        <v>76</v>
      </c>
      <c r="F38" s="35">
        <v>10</v>
      </c>
      <c r="G38" s="36">
        <v>33878</v>
      </c>
      <c r="H38" s="37">
        <v>8500</v>
      </c>
      <c r="J38"/>
      <c r="K38"/>
      <c r="L38"/>
      <c r="M38"/>
      <c r="N38"/>
      <c r="O38"/>
      <c r="P38"/>
      <c r="Q38"/>
      <c r="R38" s="39"/>
      <c r="S38" s="39"/>
      <c r="T38" s="39"/>
      <c r="V38" s="40"/>
    </row>
    <row r="39" spans="1:22" ht="15">
      <c r="A39" s="33">
        <v>33</v>
      </c>
      <c r="B39" s="34" t="s">
        <v>121</v>
      </c>
      <c r="C39" s="34" t="s">
        <v>122</v>
      </c>
      <c r="D39" s="34" t="s">
        <v>75</v>
      </c>
      <c r="E39" s="34" t="s">
        <v>55</v>
      </c>
      <c r="F39" s="35">
        <v>30</v>
      </c>
      <c r="G39" s="36">
        <v>32448</v>
      </c>
      <c r="H39" s="37">
        <v>10000</v>
      </c>
      <c r="J39"/>
      <c r="K39"/>
      <c r="L39"/>
      <c r="M39"/>
      <c r="N39"/>
      <c r="O39"/>
      <c r="P39"/>
      <c r="Q39"/>
      <c r="R39" s="39"/>
      <c r="S39" s="39"/>
      <c r="T39" s="39"/>
      <c r="V39" s="40"/>
    </row>
    <row r="40" spans="1:22" ht="15">
      <c r="A40" s="33">
        <v>34</v>
      </c>
      <c r="B40" s="34" t="s">
        <v>123</v>
      </c>
      <c r="C40" s="34" t="s">
        <v>124</v>
      </c>
      <c r="D40" s="34" t="s">
        <v>71</v>
      </c>
      <c r="E40" s="34" t="s">
        <v>79</v>
      </c>
      <c r="F40" s="35">
        <v>10</v>
      </c>
      <c r="G40" s="36">
        <v>34098</v>
      </c>
      <c r="H40" s="37">
        <v>8500</v>
      </c>
      <c r="J40"/>
      <c r="K40"/>
      <c r="L40"/>
      <c r="M40"/>
      <c r="N40"/>
      <c r="O40"/>
      <c r="P40"/>
      <c r="Q40"/>
      <c r="R40" s="39"/>
      <c r="S40" s="39"/>
      <c r="T40" s="39"/>
      <c r="V40" s="40"/>
    </row>
    <row r="41" spans="1:22" ht="15">
      <c r="A41" s="33">
        <v>35</v>
      </c>
      <c r="B41" s="34" t="s">
        <v>125</v>
      </c>
      <c r="C41" s="34" t="s">
        <v>126</v>
      </c>
      <c r="D41" s="34" t="s">
        <v>75</v>
      </c>
      <c r="E41" s="34" t="s">
        <v>59</v>
      </c>
      <c r="F41" s="35">
        <v>30</v>
      </c>
      <c r="G41" s="36">
        <v>35618</v>
      </c>
      <c r="H41" s="37">
        <v>6500</v>
      </c>
      <c r="J41"/>
      <c r="K41"/>
      <c r="L41"/>
      <c r="M41"/>
      <c r="N41"/>
      <c r="O41"/>
      <c r="P41"/>
      <c r="Q41"/>
      <c r="R41" s="39"/>
      <c r="S41" s="39"/>
      <c r="T41" s="39"/>
      <c r="V41" s="40"/>
    </row>
    <row r="42" spans="1:22" ht="15">
      <c r="A42" s="33">
        <v>36</v>
      </c>
      <c r="B42" s="34" t="s">
        <v>127</v>
      </c>
      <c r="C42" s="34" t="s">
        <v>128</v>
      </c>
      <c r="D42" s="34" t="s">
        <v>51</v>
      </c>
      <c r="E42" s="34" t="s">
        <v>79</v>
      </c>
      <c r="F42" s="35">
        <v>70</v>
      </c>
      <c r="G42" s="36">
        <v>35595</v>
      </c>
      <c r="H42" s="37">
        <v>4500</v>
      </c>
      <c r="J42"/>
      <c r="K42"/>
      <c r="L42"/>
      <c r="M42"/>
      <c r="N42"/>
      <c r="O42"/>
      <c r="P42"/>
      <c r="Q42"/>
      <c r="R42" s="39"/>
      <c r="S42" s="39"/>
      <c r="T42" s="39"/>
      <c r="V42" s="40"/>
    </row>
    <row r="43" spans="1:22" ht="15">
      <c r="A43" s="33">
        <v>37</v>
      </c>
      <c r="B43" s="34" t="s">
        <v>129</v>
      </c>
      <c r="C43" s="34" t="s">
        <v>74</v>
      </c>
      <c r="D43" s="34" t="s">
        <v>51</v>
      </c>
      <c r="E43" s="34" t="s">
        <v>59</v>
      </c>
      <c r="F43" s="35">
        <v>70</v>
      </c>
      <c r="G43" s="36">
        <v>36220</v>
      </c>
      <c r="H43" s="37">
        <v>4000</v>
      </c>
      <c r="J43"/>
      <c r="K43"/>
      <c r="L43"/>
      <c r="M43"/>
      <c r="N43"/>
      <c r="O43"/>
      <c r="P43"/>
      <c r="Q43"/>
      <c r="R43" s="39"/>
      <c r="S43" s="39"/>
      <c r="T43" s="39"/>
      <c r="V43" s="40"/>
    </row>
    <row r="44" spans="1:22" ht="15">
      <c r="A44" s="33">
        <v>38</v>
      </c>
      <c r="B44" s="34" t="s">
        <v>130</v>
      </c>
      <c r="C44" s="34" t="s">
        <v>94</v>
      </c>
      <c r="D44" s="34" t="s">
        <v>52</v>
      </c>
      <c r="E44" s="34" t="s">
        <v>59</v>
      </c>
      <c r="F44" s="35">
        <v>50</v>
      </c>
      <c r="G44" s="36">
        <v>36221</v>
      </c>
      <c r="H44" s="37">
        <v>4000</v>
      </c>
      <c r="J44"/>
      <c r="K44"/>
      <c r="L44"/>
      <c r="M44"/>
      <c r="N44"/>
      <c r="O44"/>
      <c r="P44"/>
      <c r="Q44"/>
      <c r="R44" s="39"/>
      <c r="S44" s="39"/>
      <c r="T44" s="39"/>
      <c r="V44" s="40"/>
    </row>
    <row r="45" spans="1:22" ht="15">
      <c r="A45" s="33">
        <v>39</v>
      </c>
      <c r="B45" s="34" t="s">
        <v>131</v>
      </c>
      <c r="C45" s="34" t="s">
        <v>132</v>
      </c>
      <c r="D45" s="34" t="s">
        <v>52</v>
      </c>
      <c r="E45" s="34" t="s">
        <v>55</v>
      </c>
      <c r="F45" s="35">
        <v>50</v>
      </c>
      <c r="G45" s="36">
        <v>31717</v>
      </c>
      <c r="H45" s="37">
        <v>9000</v>
      </c>
      <c r="J45"/>
      <c r="K45"/>
      <c r="L45"/>
      <c r="M45"/>
      <c r="N45"/>
      <c r="O45"/>
      <c r="P45"/>
      <c r="Q45"/>
      <c r="R45" s="39"/>
      <c r="T45" s="39"/>
      <c r="V45" s="40"/>
    </row>
    <row r="46" spans="1:22" ht="15">
      <c r="A46" s="33">
        <v>40</v>
      </c>
      <c r="B46" s="34" t="s">
        <v>133</v>
      </c>
      <c r="C46" s="34" t="s">
        <v>134</v>
      </c>
      <c r="D46" s="34" t="s">
        <v>52</v>
      </c>
      <c r="E46" s="34" t="s">
        <v>59</v>
      </c>
      <c r="F46" s="35">
        <v>50</v>
      </c>
      <c r="G46" s="36">
        <v>32439</v>
      </c>
      <c r="H46" s="37">
        <v>10000</v>
      </c>
      <c r="J46"/>
      <c r="K46"/>
      <c r="L46"/>
      <c r="M46"/>
      <c r="N46"/>
      <c r="O46"/>
      <c r="P46"/>
      <c r="Q46"/>
      <c r="R46" s="39"/>
      <c r="S46" s="39"/>
      <c r="T46" s="39"/>
      <c r="V46" s="40"/>
    </row>
    <row r="47" spans="1:22" ht="15">
      <c r="A47" s="33">
        <v>41</v>
      </c>
      <c r="B47" s="34" t="s">
        <v>135</v>
      </c>
      <c r="C47" s="34" t="s">
        <v>136</v>
      </c>
      <c r="D47" s="34" t="s">
        <v>75</v>
      </c>
      <c r="E47" s="34" t="s">
        <v>79</v>
      </c>
      <c r="F47" s="35">
        <v>30</v>
      </c>
      <c r="G47" s="36">
        <v>34777</v>
      </c>
      <c r="H47" s="37">
        <v>6000</v>
      </c>
      <c r="J47"/>
      <c r="K47"/>
      <c r="L47"/>
      <c r="M47"/>
      <c r="N47"/>
      <c r="O47"/>
      <c r="P47"/>
      <c r="Q47"/>
      <c r="R47" s="39"/>
      <c r="S47" s="39"/>
      <c r="T47" s="39"/>
      <c r="V47" s="40"/>
    </row>
    <row r="48" spans="1:22" ht="15">
      <c r="A48" s="33">
        <v>42</v>
      </c>
      <c r="B48" s="34" t="s">
        <v>137</v>
      </c>
      <c r="C48" s="34" t="s">
        <v>138</v>
      </c>
      <c r="D48" s="34" t="s">
        <v>71</v>
      </c>
      <c r="E48" s="34" t="s">
        <v>59</v>
      </c>
      <c r="F48" s="35">
        <v>10</v>
      </c>
      <c r="G48" s="36">
        <v>35034</v>
      </c>
      <c r="H48" s="37">
        <v>8000</v>
      </c>
      <c r="J48"/>
      <c r="K48"/>
      <c r="L48"/>
      <c r="M48"/>
      <c r="N48"/>
      <c r="O48"/>
      <c r="P48"/>
      <c r="Q48"/>
      <c r="R48" s="39"/>
      <c r="S48" s="39"/>
      <c r="T48" s="39"/>
      <c r="V48" s="40"/>
    </row>
    <row r="49" spans="1:22" ht="15">
      <c r="A49" s="33">
        <v>43</v>
      </c>
      <c r="B49" s="34" t="s">
        <v>139</v>
      </c>
      <c r="C49" s="34" t="s">
        <v>140</v>
      </c>
      <c r="D49" s="34" t="s">
        <v>71</v>
      </c>
      <c r="E49" s="34" t="s">
        <v>59</v>
      </c>
      <c r="F49" s="35">
        <v>10</v>
      </c>
      <c r="G49" s="36">
        <v>32436</v>
      </c>
      <c r="H49" s="37">
        <v>9000</v>
      </c>
      <c r="J49"/>
      <c r="K49"/>
      <c r="L49"/>
      <c r="M49"/>
      <c r="N49"/>
      <c r="O49"/>
      <c r="P49"/>
      <c r="Q49"/>
      <c r="R49" s="39"/>
      <c r="S49" s="39"/>
      <c r="T49" s="39"/>
      <c r="V49" s="40"/>
    </row>
    <row r="50" spans="1:22" ht="15">
      <c r="A50" s="33">
        <v>44</v>
      </c>
      <c r="B50" s="34" t="s">
        <v>141</v>
      </c>
      <c r="C50" s="34" t="s">
        <v>142</v>
      </c>
      <c r="D50" s="34" t="s">
        <v>64</v>
      </c>
      <c r="E50" s="34" t="s">
        <v>59</v>
      </c>
      <c r="F50" s="35">
        <v>20</v>
      </c>
      <c r="G50" s="36">
        <v>33182</v>
      </c>
      <c r="H50" s="37">
        <v>10000</v>
      </c>
      <c r="J50"/>
      <c r="K50"/>
      <c r="L50"/>
      <c r="M50"/>
      <c r="N50"/>
      <c r="O50"/>
      <c r="P50"/>
      <c r="Q50"/>
      <c r="R50" s="39"/>
      <c r="S50" s="39"/>
      <c r="T50" s="39"/>
      <c r="V50" s="40"/>
    </row>
    <row r="51" spans="1:22" ht="15">
      <c r="A51" s="33">
        <v>45</v>
      </c>
      <c r="B51" s="34" t="s">
        <v>143</v>
      </c>
      <c r="C51" s="34" t="s">
        <v>144</v>
      </c>
      <c r="D51" s="34" t="s">
        <v>84</v>
      </c>
      <c r="E51" s="34" t="s">
        <v>59</v>
      </c>
      <c r="F51" s="35">
        <v>40</v>
      </c>
      <c r="G51" s="36">
        <v>31027</v>
      </c>
      <c r="H51" s="37">
        <v>11000</v>
      </c>
      <c r="J51"/>
      <c r="K51"/>
      <c r="L51"/>
      <c r="M51"/>
      <c r="N51"/>
      <c r="O51"/>
      <c r="P51"/>
      <c r="Q51"/>
      <c r="R51" s="39"/>
      <c r="S51" s="39"/>
      <c r="T51" s="39"/>
      <c r="V51" s="40"/>
    </row>
    <row r="52" spans="1:22" ht="15">
      <c r="A52" s="33">
        <v>46</v>
      </c>
      <c r="B52" s="34" t="s">
        <v>145</v>
      </c>
      <c r="C52" s="34" t="s">
        <v>146</v>
      </c>
      <c r="D52" s="34" t="s">
        <v>52</v>
      </c>
      <c r="E52" s="34" t="s">
        <v>76</v>
      </c>
      <c r="F52" s="35">
        <v>50</v>
      </c>
      <c r="G52" s="36">
        <v>35034</v>
      </c>
      <c r="H52" s="37">
        <v>9000</v>
      </c>
      <c r="J52"/>
      <c r="K52"/>
      <c r="L52"/>
      <c r="M52"/>
      <c r="N52"/>
      <c r="O52"/>
      <c r="P52"/>
      <c r="Q52"/>
      <c r="R52" s="39"/>
      <c r="S52" s="39"/>
      <c r="T52" s="39"/>
      <c r="V52" s="40"/>
    </row>
    <row r="53" spans="1:22" ht="15">
      <c r="A53" s="33">
        <v>47</v>
      </c>
      <c r="B53" s="34" t="s">
        <v>147</v>
      </c>
      <c r="C53" s="34" t="s">
        <v>148</v>
      </c>
      <c r="D53" s="34" t="s">
        <v>52</v>
      </c>
      <c r="E53" s="34" t="s">
        <v>76</v>
      </c>
      <c r="F53" s="35">
        <v>50</v>
      </c>
      <c r="G53" s="36">
        <v>32442</v>
      </c>
      <c r="H53" s="37">
        <v>10000</v>
      </c>
      <c r="J53"/>
      <c r="K53"/>
      <c r="L53"/>
      <c r="M53"/>
      <c r="N53"/>
      <c r="O53"/>
      <c r="P53"/>
      <c r="Q53"/>
      <c r="R53" s="39"/>
      <c r="S53" s="39"/>
      <c r="T53" s="39"/>
      <c r="V53" s="40"/>
    </row>
    <row r="54" spans="1:22" ht="15">
      <c r="A54" s="33">
        <v>48</v>
      </c>
      <c r="B54" s="34" t="s">
        <v>149</v>
      </c>
      <c r="C54" s="34" t="s">
        <v>150</v>
      </c>
      <c r="D54" s="34" t="s">
        <v>75</v>
      </c>
      <c r="E54" s="34" t="s">
        <v>59</v>
      </c>
      <c r="F54" s="35">
        <v>30</v>
      </c>
      <c r="G54" s="36">
        <v>32755</v>
      </c>
      <c r="H54" s="37">
        <v>7100</v>
      </c>
      <c r="J54"/>
      <c r="K54"/>
      <c r="L54"/>
      <c r="M54"/>
      <c r="N54"/>
      <c r="O54"/>
      <c r="P54"/>
      <c r="Q54"/>
      <c r="R54" s="39"/>
      <c r="S54" s="39"/>
      <c r="T54" s="39"/>
      <c r="V54" s="40"/>
    </row>
    <row r="55" spans="1:22" ht="15">
      <c r="A55" s="33">
        <v>48</v>
      </c>
      <c r="B55" s="34" t="s">
        <v>149</v>
      </c>
      <c r="C55" s="34" t="s">
        <v>150</v>
      </c>
      <c r="D55" s="34" t="s">
        <v>75</v>
      </c>
      <c r="E55" s="34" t="s">
        <v>59</v>
      </c>
      <c r="F55" s="35">
        <v>30</v>
      </c>
      <c r="G55" s="36">
        <v>32755</v>
      </c>
      <c r="H55" s="37">
        <v>7100</v>
      </c>
      <c r="J55"/>
      <c r="K55"/>
      <c r="L55"/>
      <c r="M55"/>
      <c r="N55"/>
      <c r="O55"/>
      <c r="P55"/>
      <c r="Q55"/>
      <c r="R55" s="39"/>
      <c r="S55" s="39"/>
      <c r="T55" s="39"/>
      <c r="V55" s="40"/>
    </row>
    <row r="56" spans="1:22" ht="15">
      <c r="A56" s="33">
        <v>49</v>
      </c>
      <c r="B56" s="34" t="s">
        <v>151</v>
      </c>
      <c r="C56" s="34" t="s">
        <v>66</v>
      </c>
      <c r="D56" s="34" t="s">
        <v>52</v>
      </c>
      <c r="E56" s="34" t="s">
        <v>76</v>
      </c>
      <c r="F56" s="35">
        <v>50</v>
      </c>
      <c r="G56" s="36">
        <v>32435</v>
      </c>
      <c r="H56" s="37">
        <v>9000</v>
      </c>
      <c r="J56"/>
      <c r="K56"/>
      <c r="L56"/>
      <c r="M56"/>
      <c r="N56"/>
      <c r="O56"/>
      <c r="P56"/>
      <c r="Q56"/>
      <c r="R56" s="39"/>
      <c r="S56" s="39"/>
      <c r="T56" s="39"/>
      <c r="V56" s="40"/>
    </row>
    <row r="57" spans="1:22" ht="15">
      <c r="A57" s="33">
        <v>50</v>
      </c>
      <c r="B57" s="34" t="s">
        <v>152</v>
      </c>
      <c r="C57" s="34" t="s">
        <v>153</v>
      </c>
      <c r="D57" s="34" t="s">
        <v>71</v>
      </c>
      <c r="E57" s="34" t="s">
        <v>55</v>
      </c>
      <c r="F57" s="35">
        <v>10</v>
      </c>
      <c r="G57" s="36">
        <v>29172</v>
      </c>
      <c r="H57" s="37">
        <v>13000</v>
      </c>
      <c r="J57"/>
      <c r="K57"/>
      <c r="L57"/>
      <c r="M57"/>
      <c r="N57"/>
      <c r="O57"/>
      <c r="P57"/>
      <c r="Q57"/>
      <c r="R57" s="39"/>
      <c r="S57" s="39"/>
      <c r="T57" s="39"/>
      <c r="V57" s="40"/>
    </row>
    <row r="58" spans="1:22" ht="15">
      <c r="A58" s="33">
        <v>51</v>
      </c>
      <c r="B58" s="34" t="s">
        <v>154</v>
      </c>
      <c r="C58" s="34" t="s">
        <v>155</v>
      </c>
      <c r="D58" s="34" t="s">
        <v>71</v>
      </c>
      <c r="E58" s="34" t="s">
        <v>55</v>
      </c>
      <c r="F58" s="35">
        <v>10</v>
      </c>
      <c r="G58" s="36">
        <v>32440</v>
      </c>
      <c r="H58" s="37">
        <v>10000</v>
      </c>
      <c r="J58"/>
      <c r="K58"/>
      <c r="L58"/>
      <c r="M58"/>
      <c r="N58"/>
      <c r="O58"/>
      <c r="P58"/>
      <c r="Q58"/>
      <c r="R58" s="39"/>
      <c r="S58" s="39"/>
      <c r="T58" s="39"/>
      <c r="V58" s="40"/>
    </row>
    <row r="59" spans="1:22" ht="15">
      <c r="A59" s="33">
        <v>52</v>
      </c>
      <c r="B59" s="34" t="s">
        <v>156</v>
      </c>
      <c r="C59" s="34" t="s">
        <v>157</v>
      </c>
      <c r="D59" s="34" t="s">
        <v>71</v>
      </c>
      <c r="E59" s="34" t="s">
        <v>59</v>
      </c>
      <c r="F59" s="35">
        <v>10</v>
      </c>
      <c r="G59" s="36">
        <v>36506</v>
      </c>
      <c r="H59" s="37">
        <v>8500</v>
      </c>
      <c r="J59"/>
      <c r="K59"/>
      <c r="L59"/>
      <c r="M59"/>
      <c r="N59"/>
      <c r="O59"/>
      <c r="P59"/>
      <c r="Q59"/>
      <c r="R59" s="39"/>
      <c r="S59" s="39"/>
      <c r="T59" s="39"/>
      <c r="V59" s="40"/>
    </row>
    <row r="60" spans="1:22" ht="15">
      <c r="A60" s="33">
        <v>53</v>
      </c>
      <c r="B60" s="34" t="s">
        <v>158</v>
      </c>
      <c r="C60" s="34" t="s">
        <v>94</v>
      </c>
      <c r="D60" s="34" t="s">
        <v>58</v>
      </c>
      <c r="E60" s="34" t="s">
        <v>59</v>
      </c>
      <c r="F60" s="35">
        <v>60</v>
      </c>
      <c r="G60" s="36">
        <v>32443</v>
      </c>
      <c r="H60" s="37">
        <v>10000</v>
      </c>
      <c r="J60"/>
      <c r="K60"/>
      <c r="L60"/>
      <c r="M60"/>
      <c r="N60"/>
      <c r="O60"/>
      <c r="P60"/>
      <c r="Q60"/>
      <c r="R60" s="39"/>
      <c r="S60" s="39"/>
      <c r="T60" s="39"/>
      <c r="V60" s="40"/>
    </row>
    <row r="61" spans="1:22" ht="15">
      <c r="A61" s="33">
        <v>54</v>
      </c>
      <c r="B61" s="34" t="s">
        <v>159</v>
      </c>
      <c r="C61" s="34" t="s">
        <v>160</v>
      </c>
      <c r="D61" s="34" t="s">
        <v>64</v>
      </c>
      <c r="E61" s="34" t="s">
        <v>76</v>
      </c>
      <c r="F61" s="35">
        <v>20</v>
      </c>
      <c r="G61" s="36">
        <v>31637</v>
      </c>
      <c r="H61" s="37">
        <v>6000</v>
      </c>
      <c r="J61"/>
      <c r="K61"/>
      <c r="L61"/>
      <c r="M61"/>
      <c r="N61"/>
      <c r="O61"/>
      <c r="P61"/>
      <c r="Q61"/>
      <c r="R61" s="39"/>
      <c r="S61" s="39"/>
      <c r="T61" s="39"/>
      <c r="V61" s="40"/>
    </row>
    <row r="62" spans="1:22" ht="15">
      <c r="A62" s="33">
        <v>54</v>
      </c>
      <c r="B62" s="34" t="s">
        <v>159</v>
      </c>
      <c r="C62" s="34" t="s">
        <v>160</v>
      </c>
      <c r="D62" s="34" t="s">
        <v>64</v>
      </c>
      <c r="E62" s="34" t="s">
        <v>76</v>
      </c>
      <c r="F62" s="35">
        <v>20</v>
      </c>
      <c r="G62" s="36">
        <v>31637</v>
      </c>
      <c r="H62" s="37">
        <v>6000</v>
      </c>
      <c r="J62"/>
      <c r="K62"/>
      <c r="L62"/>
      <c r="M62"/>
      <c r="N62"/>
      <c r="O62"/>
      <c r="P62"/>
      <c r="Q62"/>
      <c r="R62" s="39"/>
      <c r="S62" s="39"/>
      <c r="T62" s="39"/>
      <c r="V62" s="40"/>
    </row>
    <row r="63" spans="1:22" ht="15">
      <c r="A63" s="33">
        <v>55</v>
      </c>
      <c r="B63" s="34" t="s">
        <v>161</v>
      </c>
      <c r="C63" s="34" t="s">
        <v>162</v>
      </c>
      <c r="D63" s="34" t="s">
        <v>64</v>
      </c>
      <c r="E63" s="34" t="s">
        <v>55</v>
      </c>
      <c r="F63" s="35">
        <v>20</v>
      </c>
      <c r="G63" s="36">
        <v>32603</v>
      </c>
      <c r="H63" s="37">
        <v>9900</v>
      </c>
      <c r="J63"/>
      <c r="K63"/>
      <c r="L63"/>
      <c r="M63"/>
      <c r="N63"/>
      <c r="O63"/>
      <c r="P63"/>
      <c r="Q63"/>
      <c r="R63" s="39"/>
      <c r="S63" s="39"/>
      <c r="T63" s="39"/>
      <c r="V63" s="40"/>
    </row>
    <row r="64" spans="1:22" ht="15">
      <c r="A64" s="33">
        <v>56</v>
      </c>
      <c r="B64" s="34" t="s">
        <v>163</v>
      </c>
      <c r="C64" s="34" t="s">
        <v>164</v>
      </c>
      <c r="D64" s="34" t="s">
        <v>75</v>
      </c>
      <c r="E64" s="34" t="s">
        <v>55</v>
      </c>
      <c r="F64" s="35">
        <v>30</v>
      </c>
      <c r="G64" s="36">
        <v>36222</v>
      </c>
      <c r="H64" s="37">
        <v>4000</v>
      </c>
      <c r="J64"/>
      <c r="K64"/>
      <c r="L64"/>
      <c r="M64"/>
      <c r="N64"/>
      <c r="O64"/>
      <c r="P64"/>
      <c r="Q64"/>
      <c r="R64" s="39"/>
      <c r="S64" s="39"/>
      <c r="T64" s="39"/>
      <c r="V64" s="40"/>
    </row>
    <row r="65" spans="1:22" ht="15">
      <c r="A65" s="33">
        <v>57</v>
      </c>
      <c r="B65" s="34" t="s">
        <v>165</v>
      </c>
      <c r="C65" s="34" t="s">
        <v>124</v>
      </c>
      <c r="D65" s="34" t="s">
        <v>58</v>
      </c>
      <c r="E65" s="34" t="s">
        <v>55</v>
      </c>
      <c r="F65" s="35">
        <v>60</v>
      </c>
      <c r="G65" s="36">
        <v>32435</v>
      </c>
      <c r="H65" s="37">
        <v>9000</v>
      </c>
      <c r="J65"/>
      <c r="K65"/>
      <c r="L65"/>
      <c r="M65"/>
      <c r="N65"/>
      <c r="O65"/>
      <c r="P65"/>
      <c r="Q65"/>
      <c r="R65" s="39"/>
      <c r="S65" s="39"/>
      <c r="T65" s="39"/>
      <c r="V65" s="40"/>
    </row>
    <row r="66" spans="1:22" ht="15">
      <c r="A66" s="33">
        <v>58</v>
      </c>
      <c r="B66" s="34" t="s">
        <v>166</v>
      </c>
      <c r="C66" s="34" t="s">
        <v>167</v>
      </c>
      <c r="D66" s="34" t="s">
        <v>75</v>
      </c>
      <c r="E66" s="34" t="s">
        <v>55</v>
      </c>
      <c r="F66" s="35">
        <v>10</v>
      </c>
      <c r="G66" s="36">
        <v>33510</v>
      </c>
      <c r="H66" s="37">
        <v>7600</v>
      </c>
      <c r="J66"/>
      <c r="K66"/>
      <c r="L66"/>
      <c r="M66"/>
      <c r="N66"/>
      <c r="O66"/>
      <c r="P66"/>
      <c r="Q66"/>
      <c r="R66" s="39"/>
      <c r="S66" s="39"/>
      <c r="T66" s="39"/>
      <c r="V66" s="40"/>
    </row>
    <row r="67" spans="1:22" ht="15">
      <c r="A67" s="33">
        <v>59</v>
      </c>
      <c r="B67" s="34" t="s">
        <v>166</v>
      </c>
      <c r="C67" s="34" t="s">
        <v>168</v>
      </c>
      <c r="D67" s="34" t="s">
        <v>58</v>
      </c>
      <c r="E67" s="34" t="s">
        <v>79</v>
      </c>
      <c r="F67" s="35">
        <v>10</v>
      </c>
      <c r="G67" s="36">
        <v>34580</v>
      </c>
      <c r="H67" s="37">
        <v>6700</v>
      </c>
      <c r="J67"/>
      <c r="K67"/>
      <c r="L67"/>
      <c r="M67"/>
      <c r="N67"/>
      <c r="O67"/>
      <c r="P67"/>
      <c r="Q67"/>
      <c r="R67" s="39"/>
      <c r="S67" s="39"/>
      <c r="T67" s="39"/>
      <c r="V67" s="40"/>
    </row>
    <row r="68" spans="1:22" ht="15">
      <c r="A68" s="33">
        <v>60</v>
      </c>
      <c r="B68" s="34" t="s">
        <v>166</v>
      </c>
      <c r="C68" s="34" t="s">
        <v>169</v>
      </c>
      <c r="D68" s="34" t="s">
        <v>71</v>
      </c>
      <c r="E68" s="34" t="s">
        <v>76</v>
      </c>
      <c r="F68" s="35">
        <v>10</v>
      </c>
      <c r="G68" s="36">
        <v>29362</v>
      </c>
      <c r="H68" s="37">
        <v>8500</v>
      </c>
      <c r="J68"/>
      <c r="K68"/>
      <c r="L68"/>
      <c r="M68"/>
      <c r="N68"/>
      <c r="O68"/>
      <c r="P68"/>
      <c r="Q68"/>
      <c r="R68" s="39"/>
      <c r="S68" s="39"/>
      <c r="T68" s="39"/>
      <c r="V68" s="40"/>
    </row>
    <row r="69" spans="1:22" ht="15">
      <c r="A69" s="33">
        <v>61</v>
      </c>
      <c r="B69" s="34" t="s">
        <v>170</v>
      </c>
      <c r="C69" s="34" t="s">
        <v>66</v>
      </c>
      <c r="D69" s="34" t="s">
        <v>58</v>
      </c>
      <c r="E69" s="34" t="s">
        <v>59</v>
      </c>
      <c r="F69" s="35">
        <v>60</v>
      </c>
      <c r="G69" s="36">
        <v>34761</v>
      </c>
      <c r="H69" s="37">
        <v>8000</v>
      </c>
      <c r="J69"/>
      <c r="K69"/>
      <c r="L69"/>
      <c r="M69"/>
      <c r="N69"/>
      <c r="O69"/>
      <c r="P69"/>
      <c r="Q69"/>
      <c r="R69" s="39"/>
      <c r="S69" s="39"/>
      <c r="T69" s="39"/>
      <c r="V69" s="40"/>
    </row>
    <row r="70" spans="1:22" ht="15">
      <c r="A70" s="33">
        <v>62</v>
      </c>
      <c r="B70" s="34" t="s">
        <v>171</v>
      </c>
      <c r="C70" s="34" t="s">
        <v>172</v>
      </c>
      <c r="D70" s="34" t="s">
        <v>58</v>
      </c>
      <c r="E70" s="34" t="s">
        <v>59</v>
      </c>
      <c r="F70" s="35">
        <v>60</v>
      </c>
      <c r="G70" s="36">
        <v>31030</v>
      </c>
      <c r="H70" s="37">
        <v>8500</v>
      </c>
      <c r="J70"/>
      <c r="K70"/>
      <c r="L70"/>
      <c r="M70"/>
      <c r="N70"/>
      <c r="O70"/>
      <c r="P70"/>
      <c r="Q70"/>
      <c r="R70" s="39"/>
      <c r="S70" s="39"/>
      <c r="T70" s="39"/>
      <c r="V70" s="40"/>
    </row>
    <row r="71" spans="1:22" ht="15">
      <c r="A71" s="33">
        <v>63</v>
      </c>
      <c r="B71" s="34" t="s">
        <v>173</v>
      </c>
      <c r="C71" s="34" t="s">
        <v>126</v>
      </c>
      <c r="D71" s="34" t="s">
        <v>75</v>
      </c>
      <c r="E71" s="34" t="s">
        <v>59</v>
      </c>
      <c r="F71" s="35">
        <v>30</v>
      </c>
      <c r="G71" s="36">
        <v>29226</v>
      </c>
      <c r="H71" s="37">
        <v>13000</v>
      </c>
      <c r="J71"/>
      <c r="K71"/>
      <c r="L71"/>
      <c r="M71"/>
      <c r="N71"/>
      <c r="O71"/>
      <c r="P71"/>
      <c r="Q71"/>
      <c r="R71" s="39"/>
      <c r="S71" s="39"/>
      <c r="T71" s="39"/>
      <c r="V71" s="40"/>
    </row>
    <row r="72" spans="1:22" ht="15">
      <c r="A72" s="33">
        <v>64</v>
      </c>
      <c r="B72" s="34" t="s">
        <v>174</v>
      </c>
      <c r="C72" s="34" t="s">
        <v>175</v>
      </c>
      <c r="D72" s="34" t="s">
        <v>75</v>
      </c>
      <c r="E72" s="34" t="s">
        <v>79</v>
      </c>
      <c r="F72" s="35">
        <v>30</v>
      </c>
      <c r="G72" s="36">
        <v>32608</v>
      </c>
      <c r="H72" s="37">
        <v>9900</v>
      </c>
      <c r="J72"/>
      <c r="K72"/>
      <c r="L72"/>
      <c r="M72"/>
      <c r="N72"/>
      <c r="O72"/>
      <c r="P72"/>
      <c r="Q72"/>
      <c r="R72" s="39"/>
      <c r="S72" s="39"/>
      <c r="T72" s="39"/>
      <c r="V72" s="40"/>
    </row>
    <row r="73" spans="1:22" ht="15">
      <c r="A73" s="33">
        <v>65</v>
      </c>
      <c r="B73" s="34" t="s">
        <v>176</v>
      </c>
      <c r="C73" s="34" t="s">
        <v>177</v>
      </c>
      <c r="D73" s="34" t="s">
        <v>64</v>
      </c>
      <c r="E73" s="34" t="s">
        <v>76</v>
      </c>
      <c r="F73" s="35">
        <v>20</v>
      </c>
      <c r="G73" s="36">
        <v>32605</v>
      </c>
      <c r="H73" s="37">
        <v>9900</v>
      </c>
      <c r="J73"/>
      <c r="K73"/>
      <c r="L73"/>
      <c r="M73"/>
      <c r="N73"/>
      <c r="O73"/>
      <c r="P73"/>
      <c r="Q73"/>
      <c r="R73" s="39"/>
      <c r="S73" s="39"/>
      <c r="T73" s="39"/>
      <c r="V73" s="40"/>
    </row>
    <row r="74" spans="1:22" ht="15">
      <c r="A74" s="33">
        <v>66</v>
      </c>
      <c r="B74" s="34" t="s">
        <v>178</v>
      </c>
      <c r="C74" s="34" t="s">
        <v>179</v>
      </c>
      <c r="D74" s="34" t="s">
        <v>71</v>
      </c>
      <c r="E74" s="34" t="s">
        <v>59</v>
      </c>
      <c r="F74" s="35">
        <v>10</v>
      </c>
      <c r="G74" s="36">
        <v>28126</v>
      </c>
      <c r="H74" s="37">
        <v>12500</v>
      </c>
      <c r="J74"/>
      <c r="K74"/>
      <c r="L74"/>
      <c r="M74"/>
      <c r="N74"/>
      <c r="O74"/>
      <c r="P74"/>
      <c r="Q74"/>
      <c r="R74" s="39"/>
      <c r="T74" s="39"/>
      <c r="V74" s="40"/>
    </row>
    <row r="75" spans="1:22" ht="15">
      <c r="A75" s="33">
        <v>67</v>
      </c>
      <c r="B75" s="34" t="s">
        <v>180</v>
      </c>
      <c r="C75" s="34" t="s">
        <v>181</v>
      </c>
      <c r="D75" s="34" t="s">
        <v>52</v>
      </c>
      <c r="E75" s="34" t="s">
        <v>79</v>
      </c>
      <c r="F75" s="35">
        <v>50</v>
      </c>
      <c r="G75" s="36">
        <v>32435</v>
      </c>
      <c r="H75" s="37">
        <v>9000</v>
      </c>
      <c r="J75"/>
      <c r="K75"/>
      <c r="L75"/>
      <c r="M75"/>
      <c r="N75"/>
      <c r="O75"/>
      <c r="P75"/>
      <c r="Q75"/>
      <c r="R75" s="39"/>
      <c r="S75" s="39"/>
      <c r="T75" s="39"/>
      <c r="V75" s="40"/>
    </row>
    <row r="76" spans="1:22" ht="15">
      <c r="A76" s="33">
        <v>68</v>
      </c>
      <c r="B76" s="34" t="s">
        <v>182</v>
      </c>
      <c r="C76" s="34" t="s">
        <v>183</v>
      </c>
      <c r="D76" s="34" t="s">
        <v>64</v>
      </c>
      <c r="E76" s="34" t="s">
        <v>55</v>
      </c>
      <c r="F76" s="35">
        <v>20</v>
      </c>
      <c r="G76" s="36">
        <v>34762</v>
      </c>
      <c r="H76" s="37">
        <v>8000</v>
      </c>
      <c r="J76"/>
      <c r="K76"/>
      <c r="L76"/>
      <c r="M76"/>
      <c r="N76"/>
      <c r="O76"/>
      <c r="P76"/>
      <c r="Q76"/>
      <c r="R76" s="39"/>
      <c r="S76" s="39"/>
      <c r="T76" s="39"/>
      <c r="V76" s="40"/>
    </row>
    <row r="77" spans="1:22" ht="15">
      <c r="A77" s="33">
        <v>69</v>
      </c>
      <c r="B77" s="34" t="s">
        <v>184</v>
      </c>
      <c r="C77" s="34" t="s">
        <v>185</v>
      </c>
      <c r="D77" s="34" t="s">
        <v>71</v>
      </c>
      <c r="E77" s="34" t="s">
        <v>59</v>
      </c>
      <c r="F77" s="35">
        <v>10</v>
      </c>
      <c r="G77" s="36">
        <v>33510</v>
      </c>
      <c r="H77" s="37">
        <v>6000</v>
      </c>
      <c r="J77"/>
      <c r="K77"/>
      <c r="L77"/>
      <c r="M77"/>
      <c r="N77"/>
      <c r="O77"/>
      <c r="P77"/>
      <c r="Q77"/>
      <c r="R77" s="39"/>
      <c r="T77" s="39"/>
      <c r="V77" s="40"/>
    </row>
    <row r="78" spans="1:22" ht="15">
      <c r="A78" s="33">
        <v>70</v>
      </c>
      <c r="B78" s="34" t="s">
        <v>186</v>
      </c>
      <c r="C78" s="34" t="s">
        <v>187</v>
      </c>
      <c r="D78" s="34" t="s">
        <v>71</v>
      </c>
      <c r="E78" s="34" t="s">
        <v>55</v>
      </c>
      <c r="F78" s="35">
        <v>10</v>
      </c>
      <c r="G78" s="36">
        <v>33787</v>
      </c>
      <c r="H78" s="37">
        <v>7500</v>
      </c>
      <c r="J78"/>
      <c r="K78"/>
      <c r="L78"/>
      <c r="M78"/>
      <c r="N78"/>
      <c r="O78"/>
      <c r="P78"/>
      <c r="Q78"/>
      <c r="R78" s="39"/>
      <c r="S78" s="39"/>
      <c r="T78" s="39"/>
      <c r="V78" s="40"/>
    </row>
    <row r="79" spans="1:22" ht="15">
      <c r="A79" s="33">
        <v>71</v>
      </c>
      <c r="B79" s="34" t="s">
        <v>188</v>
      </c>
      <c r="C79" s="34" t="s">
        <v>189</v>
      </c>
      <c r="D79" s="34" t="s">
        <v>75</v>
      </c>
      <c r="E79" s="34" t="s">
        <v>59</v>
      </c>
      <c r="F79" s="35">
        <v>30</v>
      </c>
      <c r="G79" s="36">
        <v>35809</v>
      </c>
      <c r="H79" s="37">
        <v>4000</v>
      </c>
      <c r="J79"/>
      <c r="K79"/>
      <c r="L79"/>
      <c r="M79"/>
      <c r="N79"/>
      <c r="O79"/>
      <c r="P79"/>
      <c r="Q79"/>
      <c r="R79" s="39"/>
      <c r="S79" s="39"/>
      <c r="T79" s="39"/>
      <c r="V79" s="40"/>
    </row>
    <row r="80" spans="1:22" ht="15">
      <c r="A80" s="33">
        <v>71</v>
      </c>
      <c r="B80" s="34" t="s">
        <v>188</v>
      </c>
      <c r="C80" s="34" t="s">
        <v>189</v>
      </c>
      <c r="D80" s="34" t="s">
        <v>75</v>
      </c>
      <c r="E80" s="34" t="s">
        <v>59</v>
      </c>
      <c r="F80" s="35">
        <v>30</v>
      </c>
      <c r="G80" s="36">
        <v>35809</v>
      </c>
      <c r="H80" s="37">
        <v>4000</v>
      </c>
      <c r="J80"/>
      <c r="K80"/>
      <c r="L80"/>
      <c r="M80"/>
      <c r="N80"/>
      <c r="O80"/>
      <c r="P80"/>
      <c r="Q80"/>
      <c r="R80" s="39"/>
      <c r="S80" s="39"/>
      <c r="T80" s="39"/>
      <c r="V80" s="40"/>
    </row>
    <row r="81" spans="1:22" ht="15">
      <c r="A81" s="33">
        <v>72</v>
      </c>
      <c r="B81" s="34" t="s">
        <v>190</v>
      </c>
      <c r="C81" s="34" t="s">
        <v>110</v>
      </c>
      <c r="D81" s="34" t="s">
        <v>58</v>
      </c>
      <c r="E81" s="34" t="s">
        <v>76</v>
      </c>
      <c r="F81" s="35">
        <v>60</v>
      </c>
      <c r="G81" s="36">
        <v>32435</v>
      </c>
      <c r="H81" s="37">
        <v>9000</v>
      </c>
      <c r="J81"/>
      <c r="K81"/>
      <c r="L81"/>
      <c r="M81"/>
      <c r="N81"/>
      <c r="O81"/>
      <c r="P81"/>
      <c r="Q81"/>
      <c r="R81" s="39"/>
      <c r="S81" s="39"/>
      <c r="T81" s="39"/>
      <c r="V81" s="40"/>
    </row>
    <row r="82" spans="1:22" ht="15">
      <c r="A82" s="33">
        <v>73</v>
      </c>
      <c r="B82" s="34" t="s">
        <v>191</v>
      </c>
      <c r="C82" s="34" t="s">
        <v>192</v>
      </c>
      <c r="D82" s="34" t="s">
        <v>84</v>
      </c>
      <c r="E82" s="34" t="s">
        <v>79</v>
      </c>
      <c r="F82" s="35">
        <v>40</v>
      </c>
      <c r="G82" s="36">
        <v>36193</v>
      </c>
      <c r="H82" s="37">
        <v>4500</v>
      </c>
      <c r="J82"/>
      <c r="K82"/>
      <c r="L82"/>
      <c r="M82"/>
      <c r="N82"/>
      <c r="O82"/>
      <c r="P82"/>
      <c r="Q82"/>
      <c r="R82" s="39"/>
      <c r="S82" s="39"/>
      <c r="T82" s="39"/>
      <c r="V82" s="40"/>
    </row>
    <row r="83" spans="1:22" ht="15">
      <c r="A83" s="33">
        <v>74</v>
      </c>
      <c r="B83" s="34" t="s">
        <v>193</v>
      </c>
      <c r="C83" s="34" t="s">
        <v>194</v>
      </c>
      <c r="D83" s="34" t="s">
        <v>64</v>
      </c>
      <c r="E83" s="34" t="s">
        <v>59</v>
      </c>
      <c r="F83" s="35">
        <v>20</v>
      </c>
      <c r="G83" s="36">
        <v>32445</v>
      </c>
      <c r="H83" s="37">
        <v>10000</v>
      </c>
      <c r="J83"/>
      <c r="K83"/>
      <c r="L83"/>
      <c r="M83"/>
      <c r="N83"/>
      <c r="O83"/>
      <c r="P83"/>
      <c r="Q83"/>
      <c r="R83" s="39"/>
      <c r="S83" s="39"/>
      <c r="T83" s="39"/>
      <c r="V83" s="40"/>
    </row>
    <row r="84" spans="1:22" ht="15">
      <c r="A84" s="33">
        <v>75</v>
      </c>
      <c r="B84" s="34" t="s">
        <v>195</v>
      </c>
      <c r="C84" s="34" t="s">
        <v>196</v>
      </c>
      <c r="D84" s="34" t="s">
        <v>64</v>
      </c>
      <c r="E84" s="34" t="s">
        <v>59</v>
      </c>
      <c r="F84" s="35">
        <v>20</v>
      </c>
      <c r="G84" s="36">
        <v>36317</v>
      </c>
      <c r="H84" s="37">
        <v>4500</v>
      </c>
      <c r="J84"/>
      <c r="K84"/>
      <c r="L84"/>
      <c r="M84"/>
      <c r="N84"/>
      <c r="O84"/>
      <c r="P84"/>
      <c r="Q84"/>
      <c r="R84" s="39"/>
      <c r="S84" s="39"/>
      <c r="T84" s="39"/>
      <c r="V84" s="40"/>
    </row>
    <row r="85" spans="1:22" ht="15">
      <c r="A85" s="33">
        <v>76</v>
      </c>
      <c r="B85" s="34" t="s">
        <v>197</v>
      </c>
      <c r="C85" s="34" t="s">
        <v>198</v>
      </c>
      <c r="D85" s="34" t="s">
        <v>75</v>
      </c>
      <c r="E85" s="34" t="s">
        <v>59</v>
      </c>
      <c r="F85" s="35">
        <v>30</v>
      </c>
      <c r="G85" s="36">
        <v>32755</v>
      </c>
      <c r="H85" s="37">
        <v>12000</v>
      </c>
      <c r="J85"/>
      <c r="K85"/>
      <c r="L85"/>
      <c r="M85"/>
      <c r="N85"/>
      <c r="O85"/>
      <c r="P85"/>
      <c r="Q85"/>
      <c r="R85" s="39"/>
      <c r="S85" s="39"/>
      <c r="T85" s="39"/>
      <c r="V85" s="40"/>
    </row>
    <row r="86" spans="1:22" ht="15">
      <c r="A86" s="33">
        <v>77</v>
      </c>
      <c r="B86" s="34" t="s">
        <v>199</v>
      </c>
      <c r="C86" s="34" t="s">
        <v>148</v>
      </c>
      <c r="D86" s="34" t="s">
        <v>58</v>
      </c>
      <c r="E86" s="34" t="s">
        <v>76</v>
      </c>
      <c r="F86" s="35">
        <v>60</v>
      </c>
      <c r="G86" s="36">
        <v>33194</v>
      </c>
      <c r="H86" s="37">
        <v>7900</v>
      </c>
      <c r="J86"/>
      <c r="K86"/>
      <c r="L86"/>
      <c r="M86"/>
      <c r="N86"/>
      <c r="O86"/>
      <c r="P86"/>
      <c r="Q86"/>
      <c r="R86" s="39"/>
      <c r="S86" s="39"/>
      <c r="T86" s="39"/>
      <c r="V86" s="40"/>
    </row>
    <row r="87" spans="1:22" ht="15">
      <c r="A87" s="33">
        <v>78</v>
      </c>
      <c r="B87" s="34" t="s">
        <v>200</v>
      </c>
      <c r="C87" s="34" t="s">
        <v>201</v>
      </c>
      <c r="D87" s="34" t="s">
        <v>64</v>
      </c>
      <c r="E87" s="34" t="s">
        <v>76</v>
      </c>
      <c r="F87" s="35">
        <v>20</v>
      </c>
      <c r="G87" s="36">
        <v>36319</v>
      </c>
      <c r="H87" s="37">
        <v>4500</v>
      </c>
      <c r="J87"/>
      <c r="K87"/>
      <c r="L87"/>
      <c r="M87"/>
      <c r="N87"/>
      <c r="O87"/>
      <c r="P87"/>
      <c r="Q87"/>
      <c r="R87" s="39"/>
      <c r="S87" s="39"/>
      <c r="T87" s="39"/>
      <c r="V87" s="40"/>
    </row>
    <row r="88" spans="1:22" ht="15">
      <c r="A88" s="33">
        <v>79</v>
      </c>
      <c r="B88" s="34" t="s">
        <v>202</v>
      </c>
      <c r="C88" s="34" t="s">
        <v>138</v>
      </c>
      <c r="D88" s="34" t="s">
        <v>203</v>
      </c>
      <c r="E88" s="34" t="s">
        <v>55</v>
      </c>
      <c r="F88" s="35">
        <v>80</v>
      </c>
      <c r="G88" s="36">
        <v>31028</v>
      </c>
      <c r="H88" s="37">
        <v>15000</v>
      </c>
      <c r="J88"/>
      <c r="K88"/>
      <c r="L88"/>
      <c r="M88"/>
      <c r="N88"/>
      <c r="O88"/>
      <c r="P88"/>
      <c r="Q88"/>
      <c r="R88" s="39"/>
      <c r="S88" s="39"/>
      <c r="T88" s="39"/>
      <c r="V88" s="40"/>
    </row>
    <row r="89" spans="1:22" ht="15">
      <c r="A89" s="33">
        <v>80</v>
      </c>
      <c r="B89" s="34" t="s">
        <v>202</v>
      </c>
      <c r="C89" s="34" t="s">
        <v>204</v>
      </c>
      <c r="D89" s="34" t="s">
        <v>84</v>
      </c>
      <c r="E89" s="34" t="s">
        <v>59</v>
      </c>
      <c r="F89" s="35">
        <v>40</v>
      </c>
      <c r="G89" s="36">
        <v>30225</v>
      </c>
      <c r="H89" s="37">
        <v>14000</v>
      </c>
      <c r="J89"/>
      <c r="K89"/>
      <c r="L89"/>
      <c r="M89"/>
      <c r="N89"/>
      <c r="O89"/>
      <c r="P89"/>
      <c r="Q89"/>
      <c r="R89" s="39"/>
      <c r="S89" s="39"/>
      <c r="T89" s="39"/>
      <c r="V89" s="40"/>
    </row>
    <row r="90" spans="1:22" ht="15">
      <c r="A90" s="33">
        <v>81</v>
      </c>
      <c r="B90" s="34" t="s">
        <v>205</v>
      </c>
      <c r="C90" s="34" t="s">
        <v>206</v>
      </c>
      <c r="D90" s="34" t="s">
        <v>51</v>
      </c>
      <c r="E90" s="34" t="s">
        <v>76</v>
      </c>
      <c r="F90" s="35">
        <v>70</v>
      </c>
      <c r="G90" s="36">
        <v>30376</v>
      </c>
      <c r="H90" s="42">
        <v>12000</v>
      </c>
      <c r="J90"/>
      <c r="K90"/>
      <c r="L90"/>
      <c r="M90"/>
      <c r="N90"/>
      <c r="O90"/>
      <c r="P90"/>
      <c r="Q90"/>
      <c r="R90" s="39"/>
      <c r="S90" s="39"/>
      <c r="T90" s="39"/>
      <c r="V90" s="40"/>
    </row>
    <row r="91" spans="1:22" ht="15">
      <c r="A91" s="33">
        <v>82</v>
      </c>
      <c r="B91" s="34" t="s">
        <v>205</v>
      </c>
      <c r="C91" s="34" t="s">
        <v>207</v>
      </c>
      <c r="D91" s="34" t="s">
        <v>84</v>
      </c>
      <c r="E91" s="34" t="s">
        <v>76</v>
      </c>
      <c r="F91" s="35">
        <v>40</v>
      </c>
      <c r="G91" s="36">
        <v>30225</v>
      </c>
      <c r="H91" s="37">
        <v>14000</v>
      </c>
      <c r="J91"/>
      <c r="K91"/>
      <c r="L91"/>
      <c r="M91"/>
      <c r="N91"/>
      <c r="O91"/>
      <c r="P91"/>
      <c r="Q91"/>
      <c r="R91" s="39"/>
      <c r="S91" s="39"/>
      <c r="T91" s="39"/>
      <c r="V91" s="40"/>
    </row>
    <row r="92" spans="1:22" ht="15">
      <c r="A92" s="33">
        <v>83</v>
      </c>
      <c r="B92" s="34" t="s">
        <v>208</v>
      </c>
      <c r="C92" s="34" t="s">
        <v>196</v>
      </c>
      <c r="D92" s="34" t="s">
        <v>52</v>
      </c>
      <c r="E92" s="34" t="s">
        <v>59</v>
      </c>
      <c r="F92" s="35">
        <v>50</v>
      </c>
      <c r="G92" s="36">
        <v>35810</v>
      </c>
      <c r="H92" s="37">
        <v>10000</v>
      </c>
      <c r="J92"/>
      <c r="K92"/>
      <c r="L92"/>
      <c r="M92"/>
      <c r="N92"/>
      <c r="O92"/>
      <c r="P92"/>
      <c r="Q92"/>
      <c r="R92" s="39"/>
      <c r="S92" s="39"/>
      <c r="T92" s="39"/>
      <c r="V92" s="40"/>
    </row>
    <row r="93" spans="1:22" ht="15">
      <c r="A93" s="33">
        <v>84</v>
      </c>
      <c r="B93" s="34" t="s">
        <v>209</v>
      </c>
      <c r="C93" s="34" t="s">
        <v>142</v>
      </c>
      <c r="D93" s="34" t="s">
        <v>64</v>
      </c>
      <c r="E93" s="34" t="s">
        <v>55</v>
      </c>
      <c r="F93" s="35">
        <v>20</v>
      </c>
      <c r="G93" s="36">
        <v>36318</v>
      </c>
      <c r="H93" s="37">
        <v>4500</v>
      </c>
      <c r="J93"/>
      <c r="K93"/>
      <c r="L93"/>
      <c r="M93"/>
      <c r="N93"/>
      <c r="O93"/>
      <c r="P93"/>
      <c r="Q93"/>
      <c r="R93" s="39"/>
      <c r="S93" s="39"/>
      <c r="T93" s="39"/>
      <c r="V93" s="40"/>
    </row>
    <row r="94" spans="1:22" ht="15">
      <c r="A94" s="33">
        <v>85</v>
      </c>
      <c r="B94" s="34" t="s">
        <v>210</v>
      </c>
      <c r="C94" s="34" t="s">
        <v>211</v>
      </c>
      <c r="D94" s="34" t="s">
        <v>84</v>
      </c>
      <c r="E94" s="34" t="s">
        <v>55</v>
      </c>
      <c r="F94" s="35">
        <v>40</v>
      </c>
      <c r="G94" s="36">
        <v>31402</v>
      </c>
      <c r="H94" s="37">
        <v>8500</v>
      </c>
      <c r="J94"/>
      <c r="K94"/>
      <c r="L94"/>
      <c r="M94"/>
      <c r="N94"/>
      <c r="O94"/>
      <c r="P94"/>
      <c r="Q94"/>
      <c r="R94" s="39"/>
      <c r="S94" s="39"/>
      <c r="T94" s="39"/>
      <c r="V94" s="40"/>
    </row>
    <row r="95" spans="1:22" ht="15">
      <c r="A95" s="33">
        <v>86</v>
      </c>
      <c r="B95" s="34" t="s">
        <v>212</v>
      </c>
      <c r="C95" s="34" t="s">
        <v>213</v>
      </c>
      <c r="D95" s="34" t="s">
        <v>71</v>
      </c>
      <c r="E95" s="34" t="s">
        <v>79</v>
      </c>
      <c r="F95" s="35">
        <v>10</v>
      </c>
      <c r="G95" s="36">
        <v>28126</v>
      </c>
      <c r="H95" s="37">
        <v>10000</v>
      </c>
      <c r="J95"/>
      <c r="K95"/>
      <c r="L95"/>
      <c r="M95"/>
      <c r="N95"/>
      <c r="O95"/>
      <c r="P95"/>
      <c r="Q95"/>
      <c r="R95" s="39"/>
      <c r="S95" s="39"/>
      <c r="T95" s="39"/>
      <c r="V95" s="40"/>
    </row>
    <row r="96" spans="1:22" ht="15">
      <c r="A96" s="33">
        <v>87</v>
      </c>
      <c r="B96" s="34" t="s">
        <v>214</v>
      </c>
      <c r="C96" s="34" t="s">
        <v>215</v>
      </c>
      <c r="D96" s="34" t="s">
        <v>51</v>
      </c>
      <c r="E96" s="34" t="s">
        <v>55</v>
      </c>
      <c r="F96" s="35">
        <v>70</v>
      </c>
      <c r="G96" s="36">
        <v>32441</v>
      </c>
      <c r="H96" s="37">
        <v>10000</v>
      </c>
      <c r="J96"/>
      <c r="K96"/>
      <c r="L96"/>
      <c r="M96"/>
      <c r="N96"/>
      <c r="O96"/>
      <c r="P96"/>
      <c r="Q96"/>
      <c r="R96" s="39"/>
      <c r="S96" s="39"/>
      <c r="T96" s="39"/>
      <c r="V96" s="40"/>
    </row>
    <row r="97" spans="1:22" ht="15">
      <c r="A97" s="33">
        <v>88</v>
      </c>
      <c r="B97" s="34" t="s">
        <v>216</v>
      </c>
      <c r="C97" s="34" t="s">
        <v>217</v>
      </c>
      <c r="D97" s="34" t="s">
        <v>75</v>
      </c>
      <c r="E97" s="34" t="s">
        <v>76</v>
      </c>
      <c r="F97" s="35">
        <v>30</v>
      </c>
      <c r="G97" s="36">
        <v>34763</v>
      </c>
      <c r="H97" s="37">
        <v>8000</v>
      </c>
      <c r="J97"/>
      <c r="K97"/>
      <c r="L97"/>
      <c r="M97"/>
      <c r="N97"/>
      <c r="O97"/>
      <c r="P97"/>
      <c r="Q97"/>
      <c r="R97" s="39"/>
      <c r="S97" s="39"/>
      <c r="T97" s="39"/>
      <c r="V97" s="40"/>
    </row>
    <row r="98" spans="1:22" ht="15">
      <c r="A98" s="33">
        <v>89</v>
      </c>
      <c r="B98" s="34" t="s">
        <v>218</v>
      </c>
      <c r="C98" s="34" t="s">
        <v>219</v>
      </c>
      <c r="D98" s="34" t="s">
        <v>52</v>
      </c>
      <c r="E98" s="34" t="s">
        <v>79</v>
      </c>
      <c r="F98" s="35">
        <v>50</v>
      </c>
      <c r="G98" s="36">
        <v>35618</v>
      </c>
      <c r="H98" s="37">
        <v>4000</v>
      </c>
      <c r="J98"/>
      <c r="K98"/>
      <c r="L98"/>
      <c r="M98"/>
      <c r="N98"/>
      <c r="O98"/>
      <c r="P98"/>
      <c r="Q98"/>
      <c r="R98" s="39"/>
      <c r="S98" s="39"/>
      <c r="T98" s="39"/>
      <c r="V98" s="40"/>
    </row>
    <row r="99" spans="1:22" ht="15">
      <c r="A99" s="33">
        <v>90</v>
      </c>
      <c r="B99" s="34" t="s">
        <v>220</v>
      </c>
      <c r="C99" s="34" t="s">
        <v>221</v>
      </c>
      <c r="D99" s="34" t="s">
        <v>52</v>
      </c>
      <c r="E99" s="34" t="s">
        <v>79</v>
      </c>
      <c r="F99" s="35">
        <v>50</v>
      </c>
      <c r="G99" s="36">
        <v>32447</v>
      </c>
      <c r="H99" s="37">
        <v>10000</v>
      </c>
      <c r="J99"/>
      <c r="K99"/>
      <c r="L99"/>
      <c r="M99"/>
      <c r="N99"/>
      <c r="O99"/>
      <c r="P99"/>
      <c r="Q99"/>
      <c r="R99" s="39"/>
      <c r="S99" s="39"/>
      <c r="T99" s="39"/>
      <c r="V99" s="40"/>
    </row>
    <row r="100" spans="1:22" ht="15">
      <c r="A100" s="33">
        <v>91</v>
      </c>
      <c r="B100" s="34" t="s">
        <v>222</v>
      </c>
      <c r="C100" s="34" t="s">
        <v>223</v>
      </c>
      <c r="D100" s="34" t="s">
        <v>71</v>
      </c>
      <c r="E100" s="34" t="s">
        <v>59</v>
      </c>
      <c r="F100" s="35">
        <v>10</v>
      </c>
      <c r="G100" s="36">
        <v>28907</v>
      </c>
      <c r="H100" s="37">
        <v>13000</v>
      </c>
      <c r="J100"/>
      <c r="K100"/>
      <c r="L100"/>
      <c r="M100"/>
      <c r="N100"/>
      <c r="O100"/>
      <c r="P100"/>
      <c r="Q100"/>
      <c r="R100" s="39"/>
      <c r="S100" s="39"/>
      <c r="T100" s="39"/>
      <c r="V100" s="40"/>
    </row>
    <row r="101" spans="1:22" ht="15">
      <c r="A101" s="33">
        <v>92</v>
      </c>
      <c r="B101" s="34" t="s">
        <v>224</v>
      </c>
      <c r="C101" s="34" t="s">
        <v>138</v>
      </c>
      <c r="D101" s="34" t="s">
        <v>52</v>
      </c>
      <c r="E101" s="34" t="s">
        <v>55</v>
      </c>
      <c r="F101" s="35">
        <v>50</v>
      </c>
      <c r="G101" s="36">
        <v>32442</v>
      </c>
      <c r="H101" s="37">
        <v>10000</v>
      </c>
      <c r="J101"/>
      <c r="K101"/>
      <c r="L101"/>
      <c r="M101"/>
      <c r="N101"/>
      <c r="O101"/>
      <c r="P101"/>
      <c r="Q101"/>
      <c r="R101" s="39"/>
      <c r="S101" s="39"/>
      <c r="T101" s="39"/>
      <c r="V101" s="40"/>
    </row>
    <row r="102" spans="1:22" ht="15">
      <c r="A102" s="33">
        <v>93</v>
      </c>
      <c r="B102" s="34" t="s">
        <v>225</v>
      </c>
      <c r="C102" s="34" t="s">
        <v>183</v>
      </c>
      <c r="D102" s="34" t="s">
        <v>58</v>
      </c>
      <c r="E102" s="34" t="s">
        <v>59</v>
      </c>
      <c r="F102" s="35">
        <v>60</v>
      </c>
      <c r="G102" s="36">
        <v>32444</v>
      </c>
      <c r="H102" s="37">
        <v>11500</v>
      </c>
      <c r="J102"/>
      <c r="K102"/>
      <c r="L102"/>
      <c r="M102"/>
      <c r="N102"/>
      <c r="O102"/>
      <c r="P102"/>
      <c r="Q102"/>
      <c r="R102" s="39"/>
      <c r="S102" s="39"/>
      <c r="T102" s="39"/>
      <c r="V102" s="40"/>
    </row>
    <row r="103" spans="1:22" ht="15">
      <c r="A103" s="33">
        <v>94</v>
      </c>
      <c r="B103" s="34" t="s">
        <v>226</v>
      </c>
      <c r="C103" s="34" t="s">
        <v>227</v>
      </c>
      <c r="D103" s="34" t="s">
        <v>58</v>
      </c>
      <c r="E103" s="34" t="s">
        <v>79</v>
      </c>
      <c r="F103" s="35">
        <v>60</v>
      </c>
      <c r="G103" s="36">
        <v>32441</v>
      </c>
      <c r="H103" s="37">
        <v>10000</v>
      </c>
      <c r="J103"/>
      <c r="K103"/>
      <c r="L103"/>
      <c r="M103"/>
      <c r="N103"/>
      <c r="O103"/>
      <c r="P103"/>
      <c r="Q103"/>
      <c r="R103" s="39"/>
      <c r="T103" s="39"/>
      <c r="V103" s="40"/>
    </row>
    <row r="104" spans="1:22" ht="15">
      <c r="A104" s="33">
        <v>95</v>
      </c>
      <c r="B104" s="34" t="s">
        <v>228</v>
      </c>
      <c r="C104" s="34" t="s">
        <v>66</v>
      </c>
      <c r="D104" s="34" t="s">
        <v>51</v>
      </c>
      <c r="E104" s="34" t="s">
        <v>59</v>
      </c>
      <c r="F104" s="35">
        <v>70</v>
      </c>
      <c r="G104" s="36">
        <v>32180</v>
      </c>
      <c r="H104" s="37">
        <v>9000</v>
      </c>
      <c r="J104"/>
      <c r="K104"/>
      <c r="L104"/>
      <c r="M104"/>
      <c r="N104"/>
      <c r="O104"/>
      <c r="P104"/>
      <c r="Q104"/>
      <c r="R104" s="39"/>
      <c r="S104" s="39"/>
      <c r="T104" s="39"/>
      <c r="V104" s="40"/>
    </row>
    <row r="105" spans="1:22" ht="15">
      <c r="A105" s="33">
        <v>96</v>
      </c>
      <c r="B105" s="34" t="s">
        <v>229</v>
      </c>
      <c r="C105" s="34" t="s">
        <v>230</v>
      </c>
      <c r="D105" s="34" t="s">
        <v>64</v>
      </c>
      <c r="E105" s="34" t="s">
        <v>76</v>
      </c>
      <c r="F105" s="35">
        <v>20</v>
      </c>
      <c r="G105" s="36">
        <v>35794</v>
      </c>
      <c r="H105" s="37">
        <v>4500</v>
      </c>
      <c r="J105"/>
      <c r="K105"/>
      <c r="L105"/>
      <c r="M105"/>
      <c r="N105"/>
      <c r="O105"/>
      <c r="P105"/>
      <c r="Q105"/>
      <c r="R105" s="39"/>
      <c r="S105" s="39"/>
      <c r="T105" s="39"/>
      <c r="V105" s="40"/>
    </row>
    <row r="106" spans="1:22" ht="15">
      <c r="A106" s="33">
        <v>97</v>
      </c>
      <c r="B106" s="34" t="s">
        <v>231</v>
      </c>
      <c r="C106" s="34" t="s">
        <v>232</v>
      </c>
      <c r="D106" s="34" t="s">
        <v>52</v>
      </c>
      <c r="E106" s="34" t="s">
        <v>55</v>
      </c>
      <c r="F106" s="35">
        <v>50</v>
      </c>
      <c r="G106" s="36">
        <v>34761</v>
      </c>
      <c r="H106" s="37">
        <v>9000</v>
      </c>
      <c r="J106"/>
      <c r="K106"/>
      <c r="L106"/>
      <c r="M106"/>
      <c r="N106"/>
      <c r="O106"/>
      <c r="P106"/>
      <c r="Q106"/>
      <c r="R106" s="39"/>
      <c r="S106" s="39"/>
      <c r="T106" s="39"/>
      <c r="V106" s="40"/>
    </row>
    <row r="107" spans="1:22" ht="15">
      <c r="A107" s="33">
        <v>98</v>
      </c>
      <c r="B107" s="34" t="s">
        <v>233</v>
      </c>
      <c r="C107" s="34" t="s">
        <v>201</v>
      </c>
      <c r="D107" s="34" t="s">
        <v>75</v>
      </c>
      <c r="E107" s="34" t="s">
        <v>59</v>
      </c>
      <c r="F107" s="35">
        <v>30</v>
      </c>
      <c r="G107" s="36">
        <v>32440</v>
      </c>
      <c r="H107" s="37">
        <v>10000</v>
      </c>
      <c r="J107"/>
      <c r="K107"/>
      <c r="L107"/>
      <c r="M107"/>
      <c r="N107"/>
      <c r="O107"/>
      <c r="P107"/>
      <c r="Q107"/>
      <c r="R107" s="39"/>
      <c r="S107" s="39"/>
      <c r="T107" s="39"/>
      <c r="V107" s="40"/>
    </row>
    <row r="108" spans="1:22" ht="15">
      <c r="A108" s="33">
        <v>99</v>
      </c>
      <c r="B108" s="34" t="s">
        <v>234</v>
      </c>
      <c r="C108" s="34" t="s">
        <v>100</v>
      </c>
      <c r="D108" s="34" t="s">
        <v>75</v>
      </c>
      <c r="E108" s="34" t="s">
        <v>79</v>
      </c>
      <c r="F108" s="35">
        <v>30</v>
      </c>
      <c r="G108" s="36">
        <v>32438</v>
      </c>
      <c r="H108" s="37">
        <v>10000</v>
      </c>
      <c r="J108"/>
      <c r="K108"/>
      <c r="L108"/>
      <c r="M108"/>
      <c r="N108"/>
      <c r="O108"/>
      <c r="P108"/>
      <c r="Q108"/>
      <c r="R108" s="39"/>
      <c r="S108" s="39"/>
      <c r="T108" s="39"/>
      <c r="V108" s="40"/>
    </row>
    <row r="109" spans="1:22">
      <c r="A109" s="33">
        <v>100</v>
      </c>
      <c r="B109" s="34" t="s">
        <v>235</v>
      </c>
      <c r="C109" s="34" t="s">
        <v>118</v>
      </c>
      <c r="D109" s="34" t="s">
        <v>52</v>
      </c>
      <c r="E109" s="34" t="s">
        <v>59</v>
      </c>
      <c r="F109" s="35">
        <v>50</v>
      </c>
      <c r="G109" s="36">
        <v>33510</v>
      </c>
      <c r="H109" s="37">
        <v>5000</v>
      </c>
      <c r="P109" s="26"/>
      <c r="Q109" s="38"/>
      <c r="R109" s="39"/>
      <c r="S109" s="39"/>
      <c r="T109" s="39"/>
      <c r="V109" s="40"/>
    </row>
    <row r="110" spans="1:22">
      <c r="P110" s="26"/>
      <c r="Q110" s="38"/>
      <c r="R110" s="39"/>
      <c r="S110" s="39"/>
      <c r="T110" s="39"/>
      <c r="V110" s="40"/>
    </row>
    <row r="111" spans="1:22" customFormat="1" ht="15"/>
    <row r="112" spans="1:22" customFormat="1" ht="15"/>
    <row r="113" spans="16:22" customFormat="1" ht="15"/>
    <row r="114" spans="16:22" customFormat="1" ht="15"/>
    <row r="115" spans="16:22" customFormat="1" ht="15"/>
    <row r="116" spans="16:22" customFormat="1" ht="15"/>
    <row r="117" spans="16:22">
      <c r="P117" s="26"/>
      <c r="Q117" s="38"/>
      <c r="R117" s="39"/>
      <c r="S117" s="39"/>
      <c r="T117" s="39"/>
      <c r="V117" s="40"/>
    </row>
    <row r="118" spans="16:22">
      <c r="P118" s="26"/>
      <c r="Q118" s="38"/>
      <c r="R118" s="39"/>
      <c r="S118" s="39"/>
      <c r="T118" s="39"/>
      <c r="V118" s="40"/>
    </row>
  </sheetData>
  <customSheetViews>
    <customSheetView guid="{32169818-EA48-4D2C-804F-10AFEFD0B9B2}" scale="115" showGridLines="0" state="hidden">
      <selection activeCell="F26" sqref="F26"/>
      <pageMargins left="0.75" right="0.75" top="1" bottom="1" header="0.5" footer="0.5"/>
      <printOptions headings="1" gridLines="1"/>
      <pageSetup scale="90" orientation="landscape" horizontalDpi="300" verticalDpi="300" r:id="rId1"/>
      <headerFooter alignWithMargins="0">
        <oddFooter>&amp;L&amp;A&amp;C&amp;BPragati Software Pvt. Ltd. Confidential&amp;B&amp;RPage &amp;P</oddFooter>
      </headerFooter>
    </customSheetView>
  </customSheetViews>
  <phoneticPr fontId="0" type="noConversion"/>
  <dataValidations disablePrompts="1" count="1">
    <dataValidation type="decimal" allowBlank="1" showInputMessage="1" showErrorMessage="1" errorTitle="error" error="please get yourself examined in the head_x000a__x000a_" sqref="F127" xr:uid="{00000000-0002-0000-0800-000000000000}">
      <formula1>43</formula1>
      <formula2>44</formula2>
    </dataValidation>
  </dataValidations>
  <printOptions headings="1" gridLines="1"/>
  <pageMargins left="0.75" right="0.75" top="1" bottom="1" header="0.5" footer="0.5"/>
  <pageSetup scale="90" orientation="landscape" horizontalDpi="300" verticalDpi="300" r:id="rId2"/>
  <headerFooter alignWithMargins="0">
    <oddFooter>&amp;L&amp;A&amp;C&amp;BPragati Software Pvt. Ltd. Confidential&amp;B&amp;RPage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04"/>
  <sheetViews>
    <sheetView showGridLines="0" workbookViewId="0">
      <selection activeCell="I12" sqref="I12"/>
    </sheetView>
  </sheetViews>
  <sheetFormatPr defaultRowHeight="15"/>
  <cols>
    <col min="3" max="3" width="10.7109375" bestFit="1" customWidth="1"/>
    <col min="7" max="7" width="9.7109375" bestFit="1" customWidth="1"/>
    <col min="9" max="9" width="14.5703125" bestFit="1" customWidth="1"/>
    <col min="10" max="10" width="10.28515625" bestFit="1" customWidth="1"/>
  </cols>
  <sheetData>
    <row r="1" spans="1:10" ht="15.75" thickBot="1"/>
    <row r="2" spans="1:10" ht="15.75" thickBot="1">
      <c r="A2" s="89" t="s">
        <v>270</v>
      </c>
      <c r="B2" s="90" t="s">
        <v>273</v>
      </c>
      <c r="C2" s="90"/>
      <c r="D2" s="90"/>
      <c r="E2" s="90"/>
      <c r="F2" s="91"/>
    </row>
    <row r="3" spans="1:10" ht="15.75" thickBot="1">
      <c r="A3" s="86" t="s">
        <v>271</v>
      </c>
      <c r="B3" s="87" t="s">
        <v>272</v>
      </c>
      <c r="C3" s="87"/>
      <c r="D3" s="87"/>
      <c r="E3" s="87"/>
      <c r="F3" s="88"/>
    </row>
    <row r="4" spans="1:10" ht="15.75" thickBot="1">
      <c r="A4" s="85" t="s">
        <v>43</v>
      </c>
      <c r="B4" s="85" t="s">
        <v>44</v>
      </c>
      <c r="C4" s="85" t="s">
        <v>45</v>
      </c>
      <c r="D4" s="85" t="s">
        <v>46</v>
      </c>
      <c r="E4" s="85" t="s">
        <v>47</v>
      </c>
      <c r="F4" s="85" t="s">
        <v>48</v>
      </c>
      <c r="G4" s="31" t="s">
        <v>49</v>
      </c>
      <c r="H4" s="31" t="s">
        <v>50</v>
      </c>
      <c r="I4" s="31" t="s">
        <v>274</v>
      </c>
      <c r="J4" s="31" t="s">
        <v>275</v>
      </c>
    </row>
    <row r="5" spans="1:10">
      <c r="A5" s="33">
        <v>1</v>
      </c>
      <c r="B5" s="34" t="s">
        <v>53</v>
      </c>
      <c r="C5" s="34" t="s">
        <v>54</v>
      </c>
      <c r="D5" s="34" t="s">
        <v>51</v>
      </c>
      <c r="E5" s="34" t="s">
        <v>55</v>
      </c>
      <c r="F5" s="35">
        <v>70</v>
      </c>
      <c r="G5" s="36">
        <v>30376</v>
      </c>
      <c r="H5" s="37">
        <v>9000</v>
      </c>
      <c r="I5" s="34"/>
      <c r="J5" s="34"/>
    </row>
    <row r="6" spans="1:10">
      <c r="A6" s="33">
        <v>2</v>
      </c>
      <c r="B6" s="34" t="s">
        <v>56</v>
      </c>
      <c r="C6" s="34" t="s">
        <v>57</v>
      </c>
      <c r="D6" s="34" t="s">
        <v>58</v>
      </c>
      <c r="E6" s="34" t="s">
        <v>59</v>
      </c>
      <c r="F6" s="35">
        <v>60</v>
      </c>
      <c r="G6" s="36">
        <v>32435</v>
      </c>
      <c r="H6" s="37">
        <v>8100</v>
      </c>
      <c r="I6" s="34"/>
      <c r="J6" s="34"/>
    </row>
    <row r="7" spans="1:10">
      <c r="A7" s="33">
        <v>3</v>
      </c>
      <c r="B7" s="34" t="s">
        <v>60</v>
      </c>
      <c r="C7" s="34" t="s">
        <v>61</v>
      </c>
      <c r="D7" s="34" t="s">
        <v>51</v>
      </c>
      <c r="E7" s="34" t="s">
        <v>59</v>
      </c>
      <c r="F7" s="35">
        <v>70</v>
      </c>
      <c r="G7" s="36">
        <v>30376</v>
      </c>
      <c r="H7" s="37">
        <v>9000</v>
      </c>
      <c r="I7" s="34"/>
      <c r="J7" s="34"/>
    </row>
    <row r="8" spans="1:10">
      <c r="A8" s="33">
        <v>4</v>
      </c>
      <c r="B8" s="34" t="s">
        <v>62</v>
      </c>
      <c r="C8" s="34" t="s">
        <v>63</v>
      </c>
      <c r="D8" s="34" t="s">
        <v>64</v>
      </c>
      <c r="E8" s="34" t="s">
        <v>59</v>
      </c>
      <c r="F8" s="35">
        <v>20</v>
      </c>
      <c r="G8" s="36">
        <v>28326</v>
      </c>
      <c r="H8" s="37">
        <v>9000</v>
      </c>
      <c r="I8" s="34"/>
      <c r="J8" s="34"/>
    </row>
    <row r="9" spans="1:10">
      <c r="A9" s="33">
        <v>5</v>
      </c>
      <c r="B9" s="34" t="s">
        <v>65</v>
      </c>
      <c r="C9" s="34" t="s">
        <v>66</v>
      </c>
      <c r="D9" s="34" t="s">
        <v>52</v>
      </c>
      <c r="E9" s="34" t="s">
        <v>59</v>
      </c>
      <c r="F9" s="35">
        <v>50</v>
      </c>
      <c r="G9" s="36">
        <v>30225</v>
      </c>
      <c r="H9" s="37">
        <v>9000</v>
      </c>
      <c r="I9" s="34"/>
      <c r="J9" s="34"/>
    </row>
    <row r="10" spans="1:10">
      <c r="A10" s="33">
        <v>6</v>
      </c>
      <c r="B10" s="34" t="s">
        <v>67</v>
      </c>
      <c r="C10" s="34" t="s">
        <v>68</v>
      </c>
      <c r="D10" s="34" t="s">
        <v>51</v>
      </c>
      <c r="E10" s="34" t="s">
        <v>59</v>
      </c>
      <c r="F10" s="35">
        <v>70</v>
      </c>
      <c r="G10" s="36">
        <v>32106</v>
      </c>
      <c r="H10" s="37">
        <v>11000</v>
      </c>
      <c r="I10" s="34"/>
      <c r="J10" s="34"/>
    </row>
    <row r="11" spans="1:10">
      <c r="A11" s="33">
        <v>7</v>
      </c>
      <c r="B11" s="34" t="s">
        <v>69</v>
      </c>
      <c r="C11" s="34" t="s">
        <v>66</v>
      </c>
      <c r="D11" s="34" t="s">
        <v>64</v>
      </c>
      <c r="E11" s="34" t="s">
        <v>59</v>
      </c>
      <c r="F11" s="35">
        <v>20</v>
      </c>
      <c r="G11" s="36">
        <v>33729</v>
      </c>
      <c r="H11" s="37">
        <v>5300</v>
      </c>
      <c r="I11" s="34"/>
      <c r="J11" s="34"/>
    </row>
    <row r="12" spans="1:10">
      <c r="A12" s="33">
        <v>8</v>
      </c>
      <c r="B12" s="34" t="s">
        <v>70</v>
      </c>
      <c r="C12" s="34" t="s">
        <v>61</v>
      </c>
      <c r="D12" s="34" t="s">
        <v>71</v>
      </c>
      <c r="E12" s="34" t="s">
        <v>59</v>
      </c>
      <c r="F12" s="35">
        <v>10</v>
      </c>
      <c r="G12" s="36">
        <v>32107</v>
      </c>
      <c r="H12" s="37">
        <v>11000</v>
      </c>
      <c r="I12" s="34"/>
      <c r="J12" s="34"/>
    </row>
    <row r="13" spans="1:10">
      <c r="A13" s="33">
        <v>9</v>
      </c>
      <c r="B13" s="34" t="s">
        <v>72</v>
      </c>
      <c r="C13" s="34" t="s">
        <v>73</v>
      </c>
      <c r="D13" s="34" t="s">
        <v>64</v>
      </c>
      <c r="E13" s="34" t="s">
        <v>55</v>
      </c>
      <c r="F13" s="35">
        <v>20</v>
      </c>
      <c r="G13" s="36">
        <v>29183</v>
      </c>
      <c r="H13" s="37">
        <v>7000</v>
      </c>
      <c r="I13" s="34"/>
      <c r="J13" s="34"/>
    </row>
    <row r="14" spans="1:10">
      <c r="A14" s="33">
        <v>10</v>
      </c>
      <c r="B14" s="34" t="s">
        <v>72</v>
      </c>
      <c r="C14" s="34" t="s">
        <v>74</v>
      </c>
      <c r="D14" s="34" t="s">
        <v>75</v>
      </c>
      <c r="E14" s="34" t="s">
        <v>76</v>
      </c>
      <c r="F14" s="35">
        <v>30</v>
      </c>
      <c r="G14" s="36">
        <v>32607</v>
      </c>
      <c r="H14" s="37">
        <v>9900</v>
      </c>
      <c r="I14" s="34"/>
      <c r="J14" s="34"/>
    </row>
    <row r="15" spans="1:10">
      <c r="A15" s="33">
        <v>11</v>
      </c>
      <c r="B15" s="34" t="s">
        <v>77</v>
      </c>
      <c r="C15" s="34" t="s">
        <v>78</v>
      </c>
      <c r="D15" s="34" t="s">
        <v>71</v>
      </c>
      <c r="E15" s="34" t="s">
        <v>79</v>
      </c>
      <c r="F15" s="35">
        <v>10</v>
      </c>
      <c r="G15" s="36">
        <v>30225</v>
      </c>
      <c r="H15" s="37">
        <v>11000</v>
      </c>
      <c r="I15" s="34"/>
      <c r="J15" s="34"/>
    </row>
    <row r="16" spans="1:10">
      <c r="A16" s="33">
        <v>12</v>
      </c>
      <c r="B16" s="34" t="s">
        <v>80</v>
      </c>
      <c r="C16" s="34" t="s">
        <v>81</v>
      </c>
      <c r="D16" s="34" t="s">
        <v>52</v>
      </c>
      <c r="E16" s="34" t="s">
        <v>59</v>
      </c>
      <c r="F16" s="35">
        <v>50</v>
      </c>
      <c r="G16" s="36">
        <v>32609</v>
      </c>
      <c r="H16" s="37">
        <v>9900</v>
      </c>
      <c r="I16" s="34"/>
      <c r="J16" s="34"/>
    </row>
    <row r="17" spans="1:10">
      <c r="A17" s="33">
        <v>13</v>
      </c>
      <c r="B17" s="34" t="s">
        <v>82</v>
      </c>
      <c r="C17" s="34" t="s">
        <v>83</v>
      </c>
      <c r="D17" s="34" t="s">
        <v>84</v>
      </c>
      <c r="E17" s="34" t="s">
        <v>79</v>
      </c>
      <c r="F17" s="35">
        <v>40</v>
      </c>
      <c r="G17" s="36">
        <v>30225</v>
      </c>
      <c r="H17" s="37">
        <v>14000</v>
      </c>
      <c r="I17" s="34"/>
      <c r="J17" s="34"/>
    </row>
    <row r="18" spans="1:10">
      <c r="A18" s="33">
        <v>14</v>
      </c>
      <c r="B18" s="34" t="s">
        <v>85</v>
      </c>
      <c r="C18" s="34" t="s">
        <v>86</v>
      </c>
      <c r="D18" s="34" t="s">
        <v>64</v>
      </c>
      <c r="E18" s="34" t="s">
        <v>59</v>
      </c>
      <c r="F18" s="35">
        <v>20</v>
      </c>
      <c r="G18" s="36">
        <v>32446</v>
      </c>
      <c r="H18" s="37">
        <v>10000</v>
      </c>
      <c r="I18" s="34"/>
      <c r="J18" s="34"/>
    </row>
    <row r="19" spans="1:10">
      <c r="A19" s="33">
        <v>15</v>
      </c>
      <c r="B19" s="34" t="s">
        <v>87</v>
      </c>
      <c r="C19" s="34" t="s">
        <v>88</v>
      </c>
      <c r="D19" s="34" t="s">
        <v>71</v>
      </c>
      <c r="E19" s="34" t="s">
        <v>76</v>
      </c>
      <c r="F19" s="35">
        <v>10</v>
      </c>
      <c r="G19" s="36">
        <v>32444</v>
      </c>
      <c r="H19" s="37">
        <v>10000</v>
      </c>
      <c r="I19" s="34"/>
      <c r="J19" s="34"/>
    </row>
    <row r="20" spans="1:10">
      <c r="A20" s="33">
        <v>16</v>
      </c>
      <c r="B20" s="34" t="s">
        <v>89</v>
      </c>
      <c r="C20" s="34" t="s">
        <v>90</v>
      </c>
      <c r="D20" s="34" t="s">
        <v>58</v>
      </c>
      <c r="E20" s="34" t="s">
        <v>55</v>
      </c>
      <c r="F20" s="35">
        <v>60</v>
      </c>
      <c r="G20" s="36">
        <v>33102</v>
      </c>
      <c r="H20" s="37">
        <v>7900</v>
      </c>
      <c r="I20" s="34"/>
      <c r="J20" s="34"/>
    </row>
    <row r="21" spans="1:10">
      <c r="A21" s="33">
        <v>17</v>
      </c>
      <c r="B21" s="34" t="s">
        <v>91</v>
      </c>
      <c r="C21" s="34" t="s">
        <v>92</v>
      </c>
      <c r="D21" s="34" t="s">
        <v>51</v>
      </c>
      <c r="E21" s="34" t="s">
        <v>79</v>
      </c>
      <c r="F21" s="35">
        <v>70</v>
      </c>
      <c r="G21" s="36">
        <v>31791</v>
      </c>
      <c r="H21" s="37">
        <v>11000</v>
      </c>
      <c r="I21" s="34"/>
      <c r="J21" s="34"/>
    </row>
    <row r="22" spans="1:10">
      <c r="A22" s="33">
        <v>18</v>
      </c>
      <c r="B22" s="34" t="s">
        <v>93</v>
      </c>
      <c r="C22" s="34" t="s">
        <v>94</v>
      </c>
      <c r="D22" s="34" t="s">
        <v>75</v>
      </c>
      <c r="E22" s="34" t="s">
        <v>59</v>
      </c>
      <c r="F22" s="35">
        <v>30</v>
      </c>
      <c r="G22" s="36">
        <v>32443</v>
      </c>
      <c r="H22" s="37">
        <v>10000</v>
      </c>
      <c r="I22" s="34"/>
      <c r="J22" s="34"/>
    </row>
    <row r="23" spans="1:10">
      <c r="A23" s="33">
        <v>19</v>
      </c>
      <c r="B23" s="34" t="s">
        <v>95</v>
      </c>
      <c r="C23" s="34" t="s">
        <v>96</v>
      </c>
      <c r="D23" s="34" t="s">
        <v>64</v>
      </c>
      <c r="E23" s="34" t="s">
        <v>59</v>
      </c>
      <c r="F23" s="35">
        <v>20</v>
      </c>
      <c r="G23" s="36">
        <v>36316</v>
      </c>
      <c r="H23" s="37">
        <v>3400</v>
      </c>
      <c r="I23" s="34"/>
      <c r="J23" s="34"/>
    </row>
    <row r="24" spans="1:10">
      <c r="A24" s="33">
        <v>20</v>
      </c>
      <c r="B24" s="34" t="s">
        <v>97</v>
      </c>
      <c r="C24" s="34" t="s">
        <v>98</v>
      </c>
      <c r="D24" s="34" t="s">
        <v>64</v>
      </c>
      <c r="E24" s="34" t="s">
        <v>79</v>
      </c>
      <c r="F24" s="35">
        <v>20</v>
      </c>
      <c r="G24" s="36">
        <v>32105</v>
      </c>
      <c r="H24" s="37">
        <v>11000</v>
      </c>
      <c r="I24" s="34"/>
      <c r="J24" s="34"/>
    </row>
    <row r="25" spans="1:10">
      <c r="A25" s="33">
        <v>21</v>
      </c>
      <c r="B25" s="34" t="s">
        <v>99</v>
      </c>
      <c r="C25" s="34" t="s">
        <v>100</v>
      </c>
      <c r="D25" s="34" t="s">
        <v>75</v>
      </c>
      <c r="E25" s="34" t="s">
        <v>55</v>
      </c>
      <c r="F25" s="35">
        <v>30</v>
      </c>
      <c r="G25" s="36">
        <v>30225</v>
      </c>
      <c r="H25" s="37">
        <v>9000</v>
      </c>
      <c r="I25" s="34"/>
      <c r="J25" s="34"/>
    </row>
    <row r="26" spans="1:10">
      <c r="A26" s="33">
        <v>22</v>
      </c>
      <c r="B26" s="34" t="s">
        <v>101</v>
      </c>
      <c r="C26" s="34" t="s">
        <v>102</v>
      </c>
      <c r="D26" s="34" t="s">
        <v>51</v>
      </c>
      <c r="E26" s="34" t="s">
        <v>76</v>
      </c>
      <c r="F26" s="35">
        <v>70</v>
      </c>
      <c r="G26" s="36">
        <v>35189</v>
      </c>
      <c r="H26" s="37">
        <v>5500</v>
      </c>
      <c r="I26" s="34"/>
      <c r="J26" s="34"/>
    </row>
    <row r="27" spans="1:10">
      <c r="A27" s="33">
        <v>23</v>
      </c>
      <c r="B27" s="34" t="s">
        <v>103</v>
      </c>
      <c r="C27" s="34" t="s">
        <v>61</v>
      </c>
      <c r="D27" s="34" t="s">
        <v>71</v>
      </c>
      <c r="E27" s="34" t="s">
        <v>79</v>
      </c>
      <c r="F27" s="35">
        <v>10</v>
      </c>
      <c r="G27" s="36">
        <v>32604</v>
      </c>
      <c r="H27" s="37">
        <v>9900</v>
      </c>
      <c r="I27" s="34"/>
      <c r="J27" s="34"/>
    </row>
    <row r="28" spans="1:10">
      <c r="A28" s="33">
        <v>24</v>
      </c>
      <c r="B28" s="34" t="s">
        <v>104</v>
      </c>
      <c r="C28" s="34" t="s">
        <v>105</v>
      </c>
      <c r="D28" s="34" t="s">
        <v>52</v>
      </c>
      <c r="E28" s="34" t="s">
        <v>59</v>
      </c>
      <c r="F28" s="35">
        <v>50</v>
      </c>
      <c r="G28" s="36">
        <v>32437</v>
      </c>
      <c r="H28" s="37">
        <v>11000</v>
      </c>
      <c r="I28" s="34"/>
      <c r="J28" s="34"/>
    </row>
    <row r="29" spans="1:10">
      <c r="A29" s="33">
        <v>25</v>
      </c>
      <c r="B29" s="34" t="s">
        <v>106</v>
      </c>
      <c r="C29" s="34" t="s">
        <v>94</v>
      </c>
      <c r="D29" s="34" t="s">
        <v>84</v>
      </c>
      <c r="E29" s="34" t="s">
        <v>76</v>
      </c>
      <c r="F29" s="35">
        <v>40</v>
      </c>
      <c r="G29" s="36">
        <v>35794</v>
      </c>
      <c r="H29" s="37">
        <v>6000</v>
      </c>
      <c r="I29" s="34"/>
      <c r="J29" s="34"/>
    </row>
    <row r="30" spans="1:10">
      <c r="A30" s="33">
        <v>26</v>
      </c>
      <c r="B30" s="34" t="s">
        <v>107</v>
      </c>
      <c r="C30" s="34" t="s">
        <v>108</v>
      </c>
      <c r="D30" s="34" t="s">
        <v>75</v>
      </c>
      <c r="E30" s="34" t="s">
        <v>76</v>
      </c>
      <c r="F30" s="35">
        <v>30</v>
      </c>
      <c r="G30" s="36">
        <v>36274</v>
      </c>
      <c r="H30" s="37">
        <v>4500</v>
      </c>
      <c r="I30" s="34"/>
      <c r="J30" s="34"/>
    </row>
    <row r="31" spans="1:10">
      <c r="A31" s="33">
        <v>27</v>
      </c>
      <c r="B31" s="34" t="s">
        <v>109</v>
      </c>
      <c r="C31" s="34" t="s">
        <v>110</v>
      </c>
      <c r="D31" s="34" t="s">
        <v>71</v>
      </c>
      <c r="E31" s="34" t="s">
        <v>59</v>
      </c>
      <c r="F31" s="35">
        <v>10</v>
      </c>
      <c r="G31" s="36">
        <v>33510</v>
      </c>
      <c r="H31" s="37">
        <v>9000</v>
      </c>
      <c r="I31" s="34"/>
      <c r="J31" s="34"/>
    </row>
    <row r="32" spans="1:10">
      <c r="A32" s="33">
        <v>28</v>
      </c>
      <c r="B32" s="34" t="s">
        <v>111</v>
      </c>
      <c r="C32" s="34" t="s">
        <v>112</v>
      </c>
      <c r="D32" s="34" t="s">
        <v>64</v>
      </c>
      <c r="E32" s="34" t="s">
        <v>79</v>
      </c>
      <c r="F32" s="35">
        <v>20</v>
      </c>
      <c r="G32" s="36">
        <v>35811</v>
      </c>
      <c r="H32" s="37">
        <v>10000</v>
      </c>
      <c r="I32" s="34"/>
      <c r="J32" s="34"/>
    </row>
    <row r="33" spans="1:10">
      <c r="A33" s="33">
        <v>29</v>
      </c>
      <c r="B33" s="34" t="s">
        <v>113</v>
      </c>
      <c r="C33" s="34" t="s">
        <v>114</v>
      </c>
      <c r="D33" s="34" t="s">
        <v>75</v>
      </c>
      <c r="E33" s="34" t="s">
        <v>76</v>
      </c>
      <c r="F33" s="35">
        <v>30</v>
      </c>
      <c r="G33" s="36">
        <v>32390</v>
      </c>
      <c r="H33" s="37">
        <v>7100</v>
      </c>
      <c r="I33" s="34"/>
      <c r="J33" s="34"/>
    </row>
    <row r="34" spans="1:10">
      <c r="A34" s="33">
        <v>30</v>
      </c>
      <c r="B34" s="34" t="s">
        <v>115</v>
      </c>
      <c r="C34" s="34" t="s">
        <v>116</v>
      </c>
      <c r="D34" s="34" t="s">
        <v>58</v>
      </c>
      <c r="E34" s="34" t="s">
        <v>79</v>
      </c>
      <c r="F34" s="35">
        <v>60</v>
      </c>
      <c r="G34" s="36">
        <v>31029</v>
      </c>
      <c r="H34" s="37">
        <v>8500</v>
      </c>
      <c r="I34" s="34"/>
      <c r="J34" s="34"/>
    </row>
    <row r="35" spans="1:10">
      <c r="A35" s="33">
        <v>31</v>
      </c>
      <c r="B35" s="34" t="s">
        <v>117</v>
      </c>
      <c r="C35" s="34" t="s">
        <v>118</v>
      </c>
      <c r="D35" s="34" t="s">
        <v>64</v>
      </c>
      <c r="E35" s="34" t="s">
        <v>79</v>
      </c>
      <c r="F35" s="35">
        <v>20</v>
      </c>
      <c r="G35" s="36">
        <v>32606</v>
      </c>
      <c r="H35" s="37">
        <v>9900</v>
      </c>
      <c r="I35" s="34"/>
      <c r="J35" s="34"/>
    </row>
    <row r="36" spans="1:10">
      <c r="A36" s="33">
        <v>32</v>
      </c>
      <c r="B36" s="34" t="s">
        <v>119</v>
      </c>
      <c r="C36" s="34" t="s">
        <v>120</v>
      </c>
      <c r="D36" s="34" t="s">
        <v>71</v>
      </c>
      <c r="E36" s="34" t="s">
        <v>76</v>
      </c>
      <c r="F36" s="35">
        <v>10</v>
      </c>
      <c r="G36" s="36">
        <v>33878</v>
      </c>
      <c r="H36" s="37">
        <v>8500</v>
      </c>
      <c r="I36" s="34"/>
      <c r="J36" s="34"/>
    </row>
    <row r="37" spans="1:10">
      <c r="A37" s="33">
        <v>33</v>
      </c>
      <c r="B37" s="34" t="s">
        <v>121</v>
      </c>
      <c r="C37" s="34" t="s">
        <v>122</v>
      </c>
      <c r="D37" s="34" t="s">
        <v>75</v>
      </c>
      <c r="E37" s="34" t="s">
        <v>55</v>
      </c>
      <c r="F37" s="35">
        <v>30</v>
      </c>
      <c r="G37" s="36">
        <v>32448</v>
      </c>
      <c r="H37" s="37">
        <v>10000</v>
      </c>
      <c r="I37" s="34"/>
      <c r="J37" s="34"/>
    </row>
    <row r="38" spans="1:10">
      <c r="A38" s="33">
        <v>34</v>
      </c>
      <c r="B38" s="34" t="s">
        <v>123</v>
      </c>
      <c r="C38" s="34" t="s">
        <v>124</v>
      </c>
      <c r="D38" s="34" t="s">
        <v>71</v>
      </c>
      <c r="E38" s="34" t="s">
        <v>79</v>
      </c>
      <c r="F38" s="35">
        <v>10</v>
      </c>
      <c r="G38" s="36">
        <v>34098</v>
      </c>
      <c r="H38" s="37">
        <v>8500</v>
      </c>
      <c r="I38" s="34"/>
      <c r="J38" s="34"/>
    </row>
    <row r="39" spans="1:10">
      <c r="A39" s="33">
        <v>35</v>
      </c>
      <c r="B39" s="34" t="s">
        <v>125</v>
      </c>
      <c r="C39" s="34" t="s">
        <v>126</v>
      </c>
      <c r="D39" s="34" t="s">
        <v>75</v>
      </c>
      <c r="E39" s="34" t="s">
        <v>59</v>
      </c>
      <c r="F39" s="35">
        <v>30</v>
      </c>
      <c r="G39" s="36">
        <v>35618</v>
      </c>
      <c r="H39" s="37">
        <v>6500</v>
      </c>
      <c r="I39" s="34"/>
      <c r="J39" s="34"/>
    </row>
    <row r="40" spans="1:10">
      <c r="A40" s="33">
        <v>36</v>
      </c>
      <c r="B40" s="34" t="s">
        <v>127</v>
      </c>
      <c r="C40" s="34" t="s">
        <v>128</v>
      </c>
      <c r="D40" s="34" t="s">
        <v>51</v>
      </c>
      <c r="E40" s="34" t="s">
        <v>79</v>
      </c>
      <c r="F40" s="35">
        <v>70</v>
      </c>
      <c r="G40" s="36">
        <v>35595</v>
      </c>
      <c r="H40" s="37">
        <v>4500</v>
      </c>
      <c r="I40" s="34"/>
      <c r="J40" s="34"/>
    </row>
    <row r="41" spans="1:10">
      <c r="A41" s="33">
        <v>37</v>
      </c>
      <c r="B41" s="34" t="s">
        <v>129</v>
      </c>
      <c r="C41" s="34" t="s">
        <v>74</v>
      </c>
      <c r="D41" s="34" t="s">
        <v>51</v>
      </c>
      <c r="E41" s="34" t="s">
        <v>59</v>
      </c>
      <c r="F41" s="35">
        <v>70</v>
      </c>
      <c r="G41" s="36">
        <v>36220</v>
      </c>
      <c r="H41" s="37">
        <v>4000</v>
      </c>
      <c r="I41" s="34"/>
      <c r="J41" s="34"/>
    </row>
    <row r="42" spans="1:10">
      <c r="A42" s="33">
        <v>38</v>
      </c>
      <c r="B42" s="34" t="s">
        <v>130</v>
      </c>
      <c r="C42" s="34" t="s">
        <v>94</v>
      </c>
      <c r="D42" s="34" t="s">
        <v>52</v>
      </c>
      <c r="E42" s="34" t="s">
        <v>59</v>
      </c>
      <c r="F42" s="35">
        <v>50</v>
      </c>
      <c r="G42" s="36">
        <v>36221</v>
      </c>
      <c r="H42" s="37">
        <v>4000</v>
      </c>
      <c r="I42" s="34"/>
      <c r="J42" s="34"/>
    </row>
    <row r="43" spans="1:10">
      <c r="A43" s="33">
        <v>39</v>
      </c>
      <c r="B43" s="34" t="s">
        <v>131</v>
      </c>
      <c r="C43" s="34" t="s">
        <v>132</v>
      </c>
      <c r="D43" s="34" t="s">
        <v>52</v>
      </c>
      <c r="E43" s="34" t="s">
        <v>55</v>
      </c>
      <c r="F43" s="35">
        <v>50</v>
      </c>
      <c r="G43" s="36">
        <v>31717</v>
      </c>
      <c r="H43" s="37">
        <v>9000</v>
      </c>
      <c r="I43" s="34"/>
      <c r="J43" s="34"/>
    </row>
    <row r="44" spans="1:10">
      <c r="A44" s="33">
        <v>40</v>
      </c>
      <c r="B44" s="34" t="s">
        <v>133</v>
      </c>
      <c r="C44" s="34" t="s">
        <v>134</v>
      </c>
      <c r="D44" s="34" t="s">
        <v>52</v>
      </c>
      <c r="E44" s="34" t="s">
        <v>59</v>
      </c>
      <c r="F44" s="35">
        <v>50</v>
      </c>
      <c r="G44" s="36">
        <v>32439</v>
      </c>
      <c r="H44" s="37">
        <v>10000</v>
      </c>
      <c r="I44" s="34"/>
      <c r="J44" s="34"/>
    </row>
    <row r="45" spans="1:10">
      <c r="A45" s="33">
        <v>41</v>
      </c>
      <c r="B45" s="34" t="s">
        <v>135</v>
      </c>
      <c r="C45" s="34" t="s">
        <v>136</v>
      </c>
      <c r="D45" s="34" t="s">
        <v>75</v>
      </c>
      <c r="E45" s="34" t="s">
        <v>79</v>
      </c>
      <c r="F45" s="35">
        <v>30</v>
      </c>
      <c r="G45" s="36">
        <v>34777</v>
      </c>
      <c r="H45" s="37">
        <v>6000</v>
      </c>
      <c r="I45" s="34"/>
      <c r="J45" s="34"/>
    </row>
    <row r="46" spans="1:10">
      <c r="A46" s="33">
        <v>42</v>
      </c>
      <c r="B46" s="34" t="s">
        <v>137</v>
      </c>
      <c r="C46" s="34" t="s">
        <v>138</v>
      </c>
      <c r="D46" s="34" t="s">
        <v>71</v>
      </c>
      <c r="E46" s="34" t="s">
        <v>59</v>
      </c>
      <c r="F46" s="35">
        <v>10</v>
      </c>
      <c r="G46" s="36">
        <v>35034</v>
      </c>
      <c r="H46" s="37">
        <v>8000</v>
      </c>
      <c r="I46" s="34"/>
      <c r="J46" s="34"/>
    </row>
    <row r="47" spans="1:10">
      <c r="A47" s="33">
        <v>43</v>
      </c>
      <c r="B47" s="34" t="s">
        <v>139</v>
      </c>
      <c r="C47" s="34" t="s">
        <v>140</v>
      </c>
      <c r="D47" s="34" t="s">
        <v>71</v>
      </c>
      <c r="E47" s="34" t="s">
        <v>59</v>
      </c>
      <c r="F47" s="35">
        <v>10</v>
      </c>
      <c r="G47" s="36">
        <v>32436</v>
      </c>
      <c r="H47" s="37">
        <v>9000</v>
      </c>
      <c r="I47" s="34"/>
      <c r="J47" s="34"/>
    </row>
    <row r="48" spans="1:10">
      <c r="A48" s="33">
        <v>44</v>
      </c>
      <c r="B48" s="34" t="s">
        <v>141</v>
      </c>
      <c r="C48" s="34" t="s">
        <v>142</v>
      </c>
      <c r="D48" s="34" t="s">
        <v>64</v>
      </c>
      <c r="E48" s="34" t="s">
        <v>59</v>
      </c>
      <c r="F48" s="35">
        <v>20</v>
      </c>
      <c r="G48" s="36">
        <v>33182</v>
      </c>
      <c r="H48" s="37">
        <v>10000</v>
      </c>
      <c r="I48" s="34"/>
      <c r="J48" s="34"/>
    </row>
    <row r="49" spans="1:10">
      <c r="A49" s="33">
        <v>45</v>
      </c>
      <c r="B49" s="34" t="s">
        <v>143</v>
      </c>
      <c r="C49" s="34" t="s">
        <v>144</v>
      </c>
      <c r="D49" s="34" t="s">
        <v>84</v>
      </c>
      <c r="E49" s="34" t="s">
        <v>59</v>
      </c>
      <c r="F49" s="35">
        <v>40</v>
      </c>
      <c r="G49" s="36">
        <v>31027</v>
      </c>
      <c r="H49" s="37">
        <v>11000</v>
      </c>
      <c r="I49" s="34"/>
      <c r="J49" s="34"/>
    </row>
    <row r="50" spans="1:10">
      <c r="A50" s="33">
        <v>46</v>
      </c>
      <c r="B50" s="34" t="s">
        <v>145</v>
      </c>
      <c r="C50" s="34" t="s">
        <v>146</v>
      </c>
      <c r="D50" s="34" t="s">
        <v>52</v>
      </c>
      <c r="E50" s="34" t="s">
        <v>76</v>
      </c>
      <c r="F50" s="35">
        <v>50</v>
      </c>
      <c r="G50" s="36">
        <v>35034</v>
      </c>
      <c r="H50" s="37">
        <v>9000</v>
      </c>
      <c r="I50" s="34"/>
      <c r="J50" s="34"/>
    </row>
    <row r="51" spans="1:10">
      <c r="A51" s="33">
        <v>47</v>
      </c>
      <c r="B51" s="34" t="s">
        <v>147</v>
      </c>
      <c r="C51" s="34" t="s">
        <v>148</v>
      </c>
      <c r="D51" s="34" t="s">
        <v>52</v>
      </c>
      <c r="E51" s="34" t="s">
        <v>76</v>
      </c>
      <c r="F51" s="35">
        <v>50</v>
      </c>
      <c r="G51" s="36">
        <v>32442</v>
      </c>
      <c r="H51" s="37">
        <v>10000</v>
      </c>
      <c r="I51" s="34"/>
      <c r="J51" s="34"/>
    </row>
    <row r="52" spans="1:10">
      <c r="A52" s="33">
        <v>48</v>
      </c>
      <c r="B52" s="34" t="s">
        <v>149</v>
      </c>
      <c r="C52" s="34" t="s">
        <v>150</v>
      </c>
      <c r="D52" s="34" t="s">
        <v>75</v>
      </c>
      <c r="E52" s="34" t="s">
        <v>59</v>
      </c>
      <c r="F52" s="35">
        <v>30</v>
      </c>
      <c r="G52" s="36">
        <v>32755</v>
      </c>
      <c r="H52" s="37">
        <v>7100</v>
      </c>
      <c r="I52" s="34"/>
      <c r="J52" s="34"/>
    </row>
    <row r="53" spans="1:10">
      <c r="A53" s="33">
        <v>49</v>
      </c>
      <c r="B53" s="34" t="s">
        <v>151</v>
      </c>
      <c r="C53" s="34" t="s">
        <v>66</v>
      </c>
      <c r="D53" s="34" t="s">
        <v>52</v>
      </c>
      <c r="E53" s="34" t="s">
        <v>76</v>
      </c>
      <c r="F53" s="35">
        <v>50</v>
      </c>
      <c r="G53" s="36">
        <v>32435</v>
      </c>
      <c r="H53" s="37">
        <v>9000</v>
      </c>
      <c r="I53" s="34"/>
      <c r="J53" s="34"/>
    </row>
    <row r="54" spans="1:10">
      <c r="A54" s="33">
        <v>50</v>
      </c>
      <c r="B54" s="34" t="s">
        <v>152</v>
      </c>
      <c r="C54" s="34" t="s">
        <v>153</v>
      </c>
      <c r="D54" s="34" t="s">
        <v>71</v>
      </c>
      <c r="E54" s="34" t="s">
        <v>55</v>
      </c>
      <c r="F54" s="35">
        <v>10</v>
      </c>
      <c r="G54" s="36">
        <v>29172</v>
      </c>
      <c r="H54" s="37">
        <v>13000</v>
      </c>
      <c r="I54" s="34"/>
      <c r="J54" s="34"/>
    </row>
    <row r="55" spans="1:10">
      <c r="A55" s="33">
        <v>51</v>
      </c>
      <c r="B55" s="34" t="s">
        <v>154</v>
      </c>
      <c r="C55" s="34" t="s">
        <v>155</v>
      </c>
      <c r="D55" s="34" t="s">
        <v>71</v>
      </c>
      <c r="E55" s="34" t="s">
        <v>55</v>
      </c>
      <c r="F55" s="35">
        <v>10</v>
      </c>
      <c r="G55" s="36">
        <v>32440</v>
      </c>
      <c r="H55" s="37">
        <v>10000</v>
      </c>
      <c r="I55" s="34"/>
      <c r="J55" s="34"/>
    </row>
    <row r="56" spans="1:10">
      <c r="A56" s="33">
        <v>52</v>
      </c>
      <c r="B56" s="34" t="s">
        <v>156</v>
      </c>
      <c r="C56" s="34" t="s">
        <v>157</v>
      </c>
      <c r="D56" s="34" t="s">
        <v>71</v>
      </c>
      <c r="E56" s="34" t="s">
        <v>59</v>
      </c>
      <c r="F56" s="35">
        <v>10</v>
      </c>
      <c r="G56" s="36">
        <v>36506</v>
      </c>
      <c r="H56" s="37">
        <v>8500</v>
      </c>
      <c r="I56" s="34"/>
      <c r="J56" s="34"/>
    </row>
    <row r="57" spans="1:10">
      <c r="A57" s="33">
        <v>53</v>
      </c>
      <c r="B57" s="34" t="s">
        <v>158</v>
      </c>
      <c r="C57" s="34" t="s">
        <v>94</v>
      </c>
      <c r="D57" s="34" t="s">
        <v>58</v>
      </c>
      <c r="E57" s="34" t="s">
        <v>59</v>
      </c>
      <c r="F57" s="35">
        <v>60</v>
      </c>
      <c r="G57" s="36">
        <v>32443</v>
      </c>
      <c r="H57" s="37">
        <v>10000</v>
      </c>
      <c r="I57" s="34"/>
      <c r="J57" s="34"/>
    </row>
    <row r="58" spans="1:10">
      <c r="A58" s="33">
        <v>54</v>
      </c>
      <c r="B58" s="34" t="s">
        <v>159</v>
      </c>
      <c r="C58" s="34" t="s">
        <v>160</v>
      </c>
      <c r="D58" s="34" t="s">
        <v>64</v>
      </c>
      <c r="E58" s="34" t="s">
        <v>76</v>
      </c>
      <c r="F58" s="35">
        <v>20</v>
      </c>
      <c r="G58" s="36">
        <v>31637</v>
      </c>
      <c r="H58" s="37">
        <v>6000</v>
      </c>
      <c r="I58" s="34"/>
      <c r="J58" s="34"/>
    </row>
    <row r="59" spans="1:10">
      <c r="A59" s="33">
        <v>55</v>
      </c>
      <c r="B59" s="34" t="s">
        <v>161</v>
      </c>
      <c r="C59" s="34" t="s">
        <v>162</v>
      </c>
      <c r="D59" s="34" t="s">
        <v>64</v>
      </c>
      <c r="E59" s="34" t="s">
        <v>55</v>
      </c>
      <c r="F59" s="35">
        <v>20</v>
      </c>
      <c r="G59" s="36">
        <v>32603</v>
      </c>
      <c r="H59" s="37">
        <v>9900</v>
      </c>
      <c r="I59" s="34"/>
      <c r="J59" s="34"/>
    </row>
    <row r="60" spans="1:10">
      <c r="A60" s="33">
        <v>56</v>
      </c>
      <c r="B60" s="34" t="s">
        <v>163</v>
      </c>
      <c r="C60" s="34" t="s">
        <v>164</v>
      </c>
      <c r="D60" s="34" t="s">
        <v>75</v>
      </c>
      <c r="E60" s="34" t="s">
        <v>55</v>
      </c>
      <c r="F60" s="35">
        <v>30</v>
      </c>
      <c r="G60" s="36">
        <v>36222</v>
      </c>
      <c r="H60" s="37">
        <v>4000</v>
      </c>
      <c r="I60" s="34"/>
      <c r="J60" s="34"/>
    </row>
    <row r="61" spans="1:10">
      <c r="A61" s="33">
        <v>57</v>
      </c>
      <c r="B61" s="34" t="s">
        <v>165</v>
      </c>
      <c r="C61" s="34" t="s">
        <v>124</v>
      </c>
      <c r="D61" s="34" t="s">
        <v>58</v>
      </c>
      <c r="E61" s="34" t="s">
        <v>55</v>
      </c>
      <c r="F61" s="35">
        <v>60</v>
      </c>
      <c r="G61" s="36">
        <v>32435</v>
      </c>
      <c r="H61" s="37">
        <v>9000</v>
      </c>
      <c r="I61" s="34"/>
      <c r="J61" s="34"/>
    </row>
    <row r="62" spans="1:10">
      <c r="A62" s="33">
        <v>58</v>
      </c>
      <c r="B62" s="34" t="s">
        <v>166</v>
      </c>
      <c r="C62" s="34" t="s">
        <v>167</v>
      </c>
      <c r="D62" s="34" t="s">
        <v>75</v>
      </c>
      <c r="E62" s="34" t="s">
        <v>55</v>
      </c>
      <c r="F62" s="35">
        <v>10</v>
      </c>
      <c r="G62" s="36">
        <v>33510</v>
      </c>
      <c r="H62" s="37">
        <v>7600</v>
      </c>
      <c r="I62" s="34"/>
      <c r="J62" s="34"/>
    </row>
    <row r="63" spans="1:10">
      <c r="A63" s="33">
        <v>59</v>
      </c>
      <c r="B63" s="34" t="s">
        <v>166</v>
      </c>
      <c r="C63" s="34" t="s">
        <v>168</v>
      </c>
      <c r="D63" s="34" t="s">
        <v>58</v>
      </c>
      <c r="E63" s="34" t="s">
        <v>79</v>
      </c>
      <c r="F63" s="35">
        <v>10</v>
      </c>
      <c r="G63" s="36">
        <v>34580</v>
      </c>
      <c r="H63" s="37">
        <v>6700</v>
      </c>
      <c r="I63" s="34"/>
      <c r="J63" s="34"/>
    </row>
    <row r="64" spans="1:10">
      <c r="A64" s="33">
        <v>60</v>
      </c>
      <c r="B64" s="34" t="s">
        <v>166</v>
      </c>
      <c r="C64" s="34" t="s">
        <v>169</v>
      </c>
      <c r="D64" s="34" t="s">
        <v>71</v>
      </c>
      <c r="E64" s="34" t="s">
        <v>76</v>
      </c>
      <c r="F64" s="35">
        <v>10</v>
      </c>
      <c r="G64" s="36">
        <v>29362</v>
      </c>
      <c r="H64" s="37">
        <v>8500</v>
      </c>
      <c r="I64" s="34"/>
      <c r="J64" s="34"/>
    </row>
    <row r="65" spans="1:10">
      <c r="A65" s="33">
        <v>61</v>
      </c>
      <c r="B65" s="34" t="s">
        <v>170</v>
      </c>
      <c r="C65" s="34" t="s">
        <v>66</v>
      </c>
      <c r="D65" s="34" t="s">
        <v>58</v>
      </c>
      <c r="E65" s="34" t="s">
        <v>59</v>
      </c>
      <c r="F65" s="35">
        <v>60</v>
      </c>
      <c r="G65" s="36">
        <v>34761</v>
      </c>
      <c r="H65" s="37">
        <v>8000</v>
      </c>
      <c r="I65" s="34"/>
      <c r="J65" s="34"/>
    </row>
    <row r="66" spans="1:10">
      <c r="A66" s="33">
        <v>62</v>
      </c>
      <c r="B66" s="34" t="s">
        <v>171</v>
      </c>
      <c r="C66" s="34" t="s">
        <v>172</v>
      </c>
      <c r="D66" s="34" t="s">
        <v>58</v>
      </c>
      <c r="E66" s="34" t="s">
        <v>59</v>
      </c>
      <c r="F66" s="35">
        <v>60</v>
      </c>
      <c r="G66" s="36">
        <v>31030</v>
      </c>
      <c r="H66" s="37">
        <v>8500</v>
      </c>
      <c r="I66" s="34"/>
      <c r="J66" s="34"/>
    </row>
    <row r="67" spans="1:10">
      <c r="A67" s="33">
        <v>63</v>
      </c>
      <c r="B67" s="34" t="s">
        <v>173</v>
      </c>
      <c r="C67" s="34" t="s">
        <v>126</v>
      </c>
      <c r="D67" s="34" t="s">
        <v>75</v>
      </c>
      <c r="E67" s="34" t="s">
        <v>59</v>
      </c>
      <c r="F67" s="35">
        <v>30</v>
      </c>
      <c r="G67" s="36">
        <v>29226</v>
      </c>
      <c r="H67" s="37">
        <v>13000</v>
      </c>
      <c r="I67" s="34"/>
      <c r="J67" s="34"/>
    </row>
    <row r="68" spans="1:10">
      <c r="A68" s="33">
        <v>64</v>
      </c>
      <c r="B68" s="34" t="s">
        <v>174</v>
      </c>
      <c r="C68" s="34" t="s">
        <v>175</v>
      </c>
      <c r="D68" s="34" t="s">
        <v>75</v>
      </c>
      <c r="E68" s="34" t="s">
        <v>79</v>
      </c>
      <c r="F68" s="35">
        <v>30</v>
      </c>
      <c r="G68" s="36">
        <v>32608</v>
      </c>
      <c r="H68" s="37">
        <v>9900</v>
      </c>
      <c r="I68" s="34"/>
      <c r="J68" s="34"/>
    </row>
    <row r="69" spans="1:10">
      <c r="A69" s="33">
        <v>65</v>
      </c>
      <c r="B69" s="34" t="s">
        <v>176</v>
      </c>
      <c r="C69" s="34" t="s">
        <v>177</v>
      </c>
      <c r="D69" s="34" t="s">
        <v>64</v>
      </c>
      <c r="E69" s="34" t="s">
        <v>76</v>
      </c>
      <c r="F69" s="35">
        <v>20</v>
      </c>
      <c r="G69" s="36">
        <v>32605</v>
      </c>
      <c r="H69" s="37">
        <v>9900</v>
      </c>
      <c r="I69" s="34"/>
      <c r="J69" s="34"/>
    </row>
    <row r="70" spans="1:10">
      <c r="A70" s="33">
        <v>66</v>
      </c>
      <c r="B70" s="34" t="s">
        <v>178</v>
      </c>
      <c r="C70" s="34" t="s">
        <v>179</v>
      </c>
      <c r="D70" s="34" t="s">
        <v>71</v>
      </c>
      <c r="E70" s="34" t="s">
        <v>59</v>
      </c>
      <c r="F70" s="35">
        <v>10</v>
      </c>
      <c r="G70" s="36">
        <v>28126</v>
      </c>
      <c r="H70" s="37">
        <v>12500</v>
      </c>
      <c r="I70" s="34"/>
      <c r="J70" s="34"/>
    </row>
    <row r="71" spans="1:10">
      <c r="A71" s="33">
        <v>67</v>
      </c>
      <c r="B71" s="34" t="s">
        <v>180</v>
      </c>
      <c r="C71" s="34" t="s">
        <v>181</v>
      </c>
      <c r="D71" s="34" t="s">
        <v>52</v>
      </c>
      <c r="E71" s="34" t="s">
        <v>79</v>
      </c>
      <c r="F71" s="35">
        <v>50</v>
      </c>
      <c r="G71" s="36">
        <v>32435</v>
      </c>
      <c r="H71" s="37">
        <v>9000</v>
      </c>
      <c r="I71" s="34"/>
      <c r="J71" s="34"/>
    </row>
    <row r="72" spans="1:10">
      <c r="A72" s="33">
        <v>68</v>
      </c>
      <c r="B72" s="34" t="s">
        <v>182</v>
      </c>
      <c r="C72" s="34" t="s">
        <v>183</v>
      </c>
      <c r="D72" s="34" t="s">
        <v>64</v>
      </c>
      <c r="E72" s="34" t="s">
        <v>55</v>
      </c>
      <c r="F72" s="35">
        <v>20</v>
      </c>
      <c r="G72" s="36">
        <v>34762</v>
      </c>
      <c r="H72" s="37">
        <v>8000</v>
      </c>
      <c r="I72" s="34"/>
      <c r="J72" s="34"/>
    </row>
    <row r="73" spans="1:10">
      <c r="A73" s="33">
        <v>69</v>
      </c>
      <c r="B73" s="34" t="s">
        <v>184</v>
      </c>
      <c r="C73" s="34" t="s">
        <v>185</v>
      </c>
      <c r="D73" s="34" t="s">
        <v>71</v>
      </c>
      <c r="E73" s="34" t="s">
        <v>59</v>
      </c>
      <c r="F73" s="35">
        <v>10</v>
      </c>
      <c r="G73" s="36">
        <v>33510</v>
      </c>
      <c r="H73" s="37">
        <v>6000</v>
      </c>
      <c r="I73" s="34"/>
      <c r="J73" s="34"/>
    </row>
    <row r="74" spans="1:10">
      <c r="A74" s="33">
        <v>70</v>
      </c>
      <c r="B74" s="34" t="s">
        <v>186</v>
      </c>
      <c r="C74" s="34" t="s">
        <v>187</v>
      </c>
      <c r="D74" s="34" t="s">
        <v>71</v>
      </c>
      <c r="E74" s="34" t="s">
        <v>55</v>
      </c>
      <c r="F74" s="35">
        <v>10</v>
      </c>
      <c r="G74" s="36">
        <v>33787</v>
      </c>
      <c r="H74" s="37">
        <v>7500</v>
      </c>
      <c r="I74" s="34"/>
      <c r="J74" s="34"/>
    </row>
    <row r="75" spans="1:10">
      <c r="A75" s="33">
        <v>71</v>
      </c>
      <c r="B75" s="34" t="s">
        <v>188</v>
      </c>
      <c r="C75" s="34" t="s">
        <v>189</v>
      </c>
      <c r="D75" s="34" t="s">
        <v>75</v>
      </c>
      <c r="E75" s="34" t="s">
        <v>59</v>
      </c>
      <c r="F75" s="35">
        <v>30</v>
      </c>
      <c r="G75" s="36">
        <v>35809</v>
      </c>
      <c r="H75" s="37">
        <v>4000</v>
      </c>
      <c r="I75" s="34"/>
      <c r="J75" s="34"/>
    </row>
    <row r="76" spans="1:10">
      <c r="A76" s="33">
        <v>72</v>
      </c>
      <c r="B76" s="34" t="s">
        <v>190</v>
      </c>
      <c r="C76" s="34" t="s">
        <v>110</v>
      </c>
      <c r="D76" s="34" t="s">
        <v>58</v>
      </c>
      <c r="E76" s="34" t="s">
        <v>76</v>
      </c>
      <c r="F76" s="35">
        <v>60</v>
      </c>
      <c r="G76" s="36">
        <v>32435</v>
      </c>
      <c r="H76" s="37">
        <v>9000</v>
      </c>
      <c r="I76" s="34"/>
      <c r="J76" s="34"/>
    </row>
    <row r="77" spans="1:10">
      <c r="A77" s="33">
        <v>73</v>
      </c>
      <c r="B77" s="34" t="s">
        <v>191</v>
      </c>
      <c r="C77" s="34" t="s">
        <v>192</v>
      </c>
      <c r="D77" s="34" t="s">
        <v>84</v>
      </c>
      <c r="E77" s="34" t="s">
        <v>79</v>
      </c>
      <c r="F77" s="35">
        <v>40</v>
      </c>
      <c r="G77" s="36">
        <v>36193</v>
      </c>
      <c r="H77" s="37">
        <v>4500</v>
      </c>
      <c r="I77" s="34"/>
      <c r="J77" s="34"/>
    </row>
    <row r="78" spans="1:10">
      <c r="A78" s="33">
        <v>74</v>
      </c>
      <c r="B78" s="34" t="s">
        <v>193</v>
      </c>
      <c r="C78" s="34" t="s">
        <v>194</v>
      </c>
      <c r="D78" s="34" t="s">
        <v>64</v>
      </c>
      <c r="E78" s="34" t="s">
        <v>59</v>
      </c>
      <c r="F78" s="35">
        <v>20</v>
      </c>
      <c r="G78" s="36">
        <v>32445</v>
      </c>
      <c r="H78" s="37">
        <v>10000</v>
      </c>
      <c r="I78" s="34"/>
      <c r="J78" s="34"/>
    </row>
    <row r="79" spans="1:10">
      <c r="A79" s="33">
        <v>75</v>
      </c>
      <c r="B79" s="34" t="s">
        <v>195</v>
      </c>
      <c r="C79" s="34" t="s">
        <v>196</v>
      </c>
      <c r="D79" s="34" t="s">
        <v>64</v>
      </c>
      <c r="E79" s="34" t="s">
        <v>59</v>
      </c>
      <c r="F79" s="35">
        <v>20</v>
      </c>
      <c r="G79" s="36">
        <v>36317</v>
      </c>
      <c r="H79" s="37">
        <v>4500</v>
      </c>
      <c r="I79" s="34"/>
      <c r="J79" s="34"/>
    </row>
    <row r="80" spans="1:10">
      <c r="A80" s="33">
        <v>76</v>
      </c>
      <c r="B80" s="34" t="s">
        <v>197</v>
      </c>
      <c r="C80" s="34" t="s">
        <v>198</v>
      </c>
      <c r="D80" s="34" t="s">
        <v>75</v>
      </c>
      <c r="E80" s="34" t="s">
        <v>59</v>
      </c>
      <c r="F80" s="35">
        <v>30</v>
      </c>
      <c r="G80" s="36">
        <v>32755</v>
      </c>
      <c r="H80" s="37">
        <v>12000</v>
      </c>
      <c r="I80" s="34"/>
      <c r="J80" s="34"/>
    </row>
    <row r="81" spans="1:10">
      <c r="A81" s="33">
        <v>77</v>
      </c>
      <c r="B81" s="34" t="s">
        <v>199</v>
      </c>
      <c r="C81" s="34" t="s">
        <v>148</v>
      </c>
      <c r="D81" s="34" t="s">
        <v>58</v>
      </c>
      <c r="E81" s="34" t="s">
        <v>76</v>
      </c>
      <c r="F81" s="35">
        <v>60</v>
      </c>
      <c r="G81" s="36">
        <v>33194</v>
      </c>
      <c r="H81" s="37">
        <v>7900</v>
      </c>
      <c r="I81" s="34"/>
      <c r="J81" s="34"/>
    </row>
    <row r="82" spans="1:10">
      <c r="A82" s="33">
        <v>78</v>
      </c>
      <c r="B82" s="34" t="s">
        <v>200</v>
      </c>
      <c r="C82" s="34" t="s">
        <v>201</v>
      </c>
      <c r="D82" s="34" t="s">
        <v>64</v>
      </c>
      <c r="E82" s="34" t="s">
        <v>76</v>
      </c>
      <c r="F82" s="35">
        <v>20</v>
      </c>
      <c r="G82" s="36">
        <v>36319</v>
      </c>
      <c r="H82" s="37">
        <v>4500</v>
      </c>
      <c r="I82" s="34"/>
      <c r="J82" s="34"/>
    </row>
    <row r="83" spans="1:10">
      <c r="A83" s="33">
        <v>79</v>
      </c>
      <c r="B83" s="34" t="s">
        <v>202</v>
      </c>
      <c r="C83" s="34" t="s">
        <v>138</v>
      </c>
      <c r="D83" s="34" t="s">
        <v>203</v>
      </c>
      <c r="E83" s="34" t="s">
        <v>55</v>
      </c>
      <c r="F83" s="35">
        <v>80</v>
      </c>
      <c r="G83" s="36">
        <v>31028</v>
      </c>
      <c r="H83" s="37">
        <v>15000</v>
      </c>
      <c r="I83" s="34"/>
      <c r="J83" s="34"/>
    </row>
    <row r="84" spans="1:10">
      <c r="A84" s="33">
        <v>80</v>
      </c>
      <c r="B84" s="34" t="s">
        <v>202</v>
      </c>
      <c r="C84" s="34" t="s">
        <v>204</v>
      </c>
      <c r="D84" s="34" t="s">
        <v>84</v>
      </c>
      <c r="E84" s="34" t="s">
        <v>59</v>
      </c>
      <c r="F84" s="35">
        <v>40</v>
      </c>
      <c r="G84" s="36">
        <v>30225</v>
      </c>
      <c r="H84" s="37">
        <v>14000</v>
      </c>
      <c r="I84" s="34"/>
      <c r="J84" s="34"/>
    </row>
    <row r="85" spans="1:10">
      <c r="A85" s="33">
        <v>81</v>
      </c>
      <c r="B85" s="34" t="s">
        <v>205</v>
      </c>
      <c r="C85" s="34" t="s">
        <v>206</v>
      </c>
      <c r="D85" s="34" t="s">
        <v>51</v>
      </c>
      <c r="E85" s="34" t="s">
        <v>76</v>
      </c>
      <c r="F85" s="35">
        <v>70</v>
      </c>
      <c r="G85" s="36">
        <v>30376</v>
      </c>
      <c r="H85" s="42">
        <v>12000</v>
      </c>
      <c r="I85" s="34"/>
      <c r="J85" s="34"/>
    </row>
    <row r="86" spans="1:10">
      <c r="A86" s="33">
        <v>82</v>
      </c>
      <c r="B86" s="34" t="s">
        <v>205</v>
      </c>
      <c r="C86" s="34" t="s">
        <v>207</v>
      </c>
      <c r="D86" s="34" t="s">
        <v>84</v>
      </c>
      <c r="E86" s="34" t="s">
        <v>76</v>
      </c>
      <c r="F86" s="35">
        <v>40</v>
      </c>
      <c r="G86" s="36">
        <v>30225</v>
      </c>
      <c r="H86" s="37">
        <v>14000</v>
      </c>
      <c r="I86" s="34"/>
      <c r="J86" s="34"/>
    </row>
    <row r="87" spans="1:10">
      <c r="A87" s="33">
        <v>83</v>
      </c>
      <c r="B87" s="34" t="s">
        <v>208</v>
      </c>
      <c r="C87" s="34" t="s">
        <v>196</v>
      </c>
      <c r="D87" s="34" t="s">
        <v>52</v>
      </c>
      <c r="E87" s="34" t="s">
        <v>59</v>
      </c>
      <c r="F87" s="35">
        <v>50</v>
      </c>
      <c r="G87" s="36">
        <v>35810</v>
      </c>
      <c r="H87" s="37">
        <v>10000</v>
      </c>
      <c r="I87" s="34"/>
      <c r="J87" s="34"/>
    </row>
    <row r="88" spans="1:10">
      <c r="A88" s="33">
        <v>84</v>
      </c>
      <c r="B88" s="34" t="s">
        <v>209</v>
      </c>
      <c r="C88" s="34" t="s">
        <v>142</v>
      </c>
      <c r="D88" s="34" t="s">
        <v>64</v>
      </c>
      <c r="E88" s="34" t="s">
        <v>55</v>
      </c>
      <c r="F88" s="35">
        <v>20</v>
      </c>
      <c r="G88" s="36">
        <v>36318</v>
      </c>
      <c r="H88" s="37">
        <v>4500</v>
      </c>
      <c r="I88" s="34"/>
      <c r="J88" s="34"/>
    </row>
    <row r="89" spans="1:10">
      <c r="A89" s="33">
        <v>85</v>
      </c>
      <c r="B89" s="34" t="s">
        <v>210</v>
      </c>
      <c r="C89" s="34" t="s">
        <v>211</v>
      </c>
      <c r="D89" s="34" t="s">
        <v>84</v>
      </c>
      <c r="E89" s="34" t="s">
        <v>55</v>
      </c>
      <c r="F89" s="35">
        <v>40</v>
      </c>
      <c r="G89" s="36">
        <v>31402</v>
      </c>
      <c r="H89" s="37">
        <v>8500</v>
      </c>
      <c r="I89" s="34"/>
      <c r="J89" s="34"/>
    </row>
    <row r="90" spans="1:10">
      <c r="A90" s="33">
        <v>86</v>
      </c>
      <c r="B90" s="34" t="s">
        <v>212</v>
      </c>
      <c r="C90" s="34" t="s">
        <v>213</v>
      </c>
      <c r="D90" s="34" t="s">
        <v>71</v>
      </c>
      <c r="E90" s="34" t="s">
        <v>79</v>
      </c>
      <c r="F90" s="35">
        <v>10</v>
      </c>
      <c r="G90" s="36">
        <v>28126</v>
      </c>
      <c r="H90" s="37">
        <v>10000</v>
      </c>
      <c r="I90" s="34"/>
      <c r="J90" s="34"/>
    </row>
    <row r="91" spans="1:10">
      <c r="A91" s="33">
        <v>87</v>
      </c>
      <c r="B91" s="34" t="s">
        <v>214</v>
      </c>
      <c r="C91" s="34" t="s">
        <v>215</v>
      </c>
      <c r="D91" s="34" t="s">
        <v>51</v>
      </c>
      <c r="E91" s="34" t="s">
        <v>55</v>
      </c>
      <c r="F91" s="35">
        <v>70</v>
      </c>
      <c r="G91" s="36">
        <v>32441</v>
      </c>
      <c r="H91" s="37">
        <v>10000</v>
      </c>
      <c r="I91" s="34"/>
      <c r="J91" s="34"/>
    </row>
    <row r="92" spans="1:10">
      <c r="A92" s="33">
        <v>88</v>
      </c>
      <c r="B92" s="34" t="s">
        <v>216</v>
      </c>
      <c r="C92" s="34" t="s">
        <v>217</v>
      </c>
      <c r="D92" s="34" t="s">
        <v>75</v>
      </c>
      <c r="E92" s="34" t="s">
        <v>76</v>
      </c>
      <c r="F92" s="35">
        <v>30</v>
      </c>
      <c r="G92" s="36">
        <v>34763</v>
      </c>
      <c r="H92" s="37">
        <v>8000</v>
      </c>
      <c r="I92" s="34"/>
      <c r="J92" s="34"/>
    </row>
    <row r="93" spans="1:10">
      <c r="A93" s="33">
        <v>89</v>
      </c>
      <c r="B93" s="34" t="s">
        <v>218</v>
      </c>
      <c r="C93" s="34" t="s">
        <v>219</v>
      </c>
      <c r="D93" s="34" t="s">
        <v>52</v>
      </c>
      <c r="E93" s="34" t="s">
        <v>79</v>
      </c>
      <c r="F93" s="35">
        <v>50</v>
      </c>
      <c r="G93" s="36">
        <v>35618</v>
      </c>
      <c r="H93" s="37">
        <v>4000</v>
      </c>
      <c r="I93" s="34"/>
      <c r="J93" s="34"/>
    </row>
    <row r="94" spans="1:10">
      <c r="A94" s="33">
        <v>90</v>
      </c>
      <c r="B94" s="34" t="s">
        <v>220</v>
      </c>
      <c r="C94" s="34" t="s">
        <v>221</v>
      </c>
      <c r="D94" s="34" t="s">
        <v>52</v>
      </c>
      <c r="E94" s="34" t="s">
        <v>79</v>
      </c>
      <c r="F94" s="35">
        <v>50</v>
      </c>
      <c r="G94" s="36">
        <v>32447</v>
      </c>
      <c r="H94" s="37">
        <v>10000</v>
      </c>
      <c r="I94" s="34"/>
      <c r="J94" s="34"/>
    </row>
    <row r="95" spans="1:10">
      <c r="A95" s="33">
        <v>91</v>
      </c>
      <c r="B95" s="34" t="s">
        <v>222</v>
      </c>
      <c r="C95" s="34" t="s">
        <v>223</v>
      </c>
      <c r="D95" s="34" t="s">
        <v>71</v>
      </c>
      <c r="E95" s="34" t="s">
        <v>59</v>
      </c>
      <c r="F95" s="35">
        <v>10</v>
      </c>
      <c r="G95" s="36">
        <v>28907</v>
      </c>
      <c r="H95" s="37">
        <v>13000</v>
      </c>
      <c r="I95" s="34"/>
      <c r="J95" s="34"/>
    </row>
    <row r="96" spans="1:10">
      <c r="A96" s="33">
        <v>92</v>
      </c>
      <c r="B96" s="34" t="s">
        <v>224</v>
      </c>
      <c r="C96" s="34" t="s">
        <v>138</v>
      </c>
      <c r="D96" s="34" t="s">
        <v>52</v>
      </c>
      <c r="E96" s="34" t="s">
        <v>55</v>
      </c>
      <c r="F96" s="35">
        <v>50</v>
      </c>
      <c r="G96" s="36">
        <v>32442</v>
      </c>
      <c r="H96" s="37">
        <v>10000</v>
      </c>
      <c r="I96" s="34"/>
      <c r="J96" s="34"/>
    </row>
    <row r="97" spans="1:10">
      <c r="A97" s="33">
        <v>93</v>
      </c>
      <c r="B97" s="34" t="s">
        <v>225</v>
      </c>
      <c r="C97" s="34" t="s">
        <v>183</v>
      </c>
      <c r="D97" s="34" t="s">
        <v>58</v>
      </c>
      <c r="E97" s="34" t="s">
        <v>59</v>
      </c>
      <c r="F97" s="35">
        <v>60</v>
      </c>
      <c r="G97" s="36">
        <v>32444</v>
      </c>
      <c r="H97" s="37">
        <v>11500</v>
      </c>
      <c r="I97" s="34"/>
      <c r="J97" s="34"/>
    </row>
    <row r="98" spans="1:10">
      <c r="A98" s="33">
        <v>94</v>
      </c>
      <c r="B98" s="34" t="s">
        <v>226</v>
      </c>
      <c r="C98" s="34" t="s">
        <v>227</v>
      </c>
      <c r="D98" s="34" t="s">
        <v>58</v>
      </c>
      <c r="E98" s="34" t="s">
        <v>79</v>
      </c>
      <c r="F98" s="35">
        <v>60</v>
      </c>
      <c r="G98" s="36">
        <v>32441</v>
      </c>
      <c r="H98" s="37">
        <v>10000</v>
      </c>
      <c r="I98" s="34"/>
      <c r="J98" s="34"/>
    </row>
    <row r="99" spans="1:10">
      <c r="A99" s="33">
        <v>95</v>
      </c>
      <c r="B99" s="34" t="s">
        <v>228</v>
      </c>
      <c r="C99" s="34" t="s">
        <v>66</v>
      </c>
      <c r="D99" s="34" t="s">
        <v>51</v>
      </c>
      <c r="E99" s="34" t="s">
        <v>59</v>
      </c>
      <c r="F99" s="35">
        <v>70</v>
      </c>
      <c r="G99" s="36">
        <v>32180</v>
      </c>
      <c r="H99" s="37">
        <v>9000</v>
      </c>
      <c r="I99" s="34"/>
      <c r="J99" s="34"/>
    </row>
    <row r="100" spans="1:10">
      <c r="A100" s="33">
        <v>96</v>
      </c>
      <c r="B100" s="34" t="s">
        <v>229</v>
      </c>
      <c r="C100" s="34" t="s">
        <v>230</v>
      </c>
      <c r="D100" s="34" t="s">
        <v>64</v>
      </c>
      <c r="E100" s="34" t="s">
        <v>76</v>
      </c>
      <c r="F100" s="35">
        <v>20</v>
      </c>
      <c r="G100" s="36">
        <v>35794</v>
      </c>
      <c r="H100" s="37">
        <v>4500</v>
      </c>
      <c r="I100" s="34"/>
      <c r="J100" s="34"/>
    </row>
    <row r="101" spans="1:10">
      <c r="A101" s="33">
        <v>97</v>
      </c>
      <c r="B101" s="34" t="s">
        <v>231</v>
      </c>
      <c r="C101" s="34" t="s">
        <v>232</v>
      </c>
      <c r="D101" s="34" t="s">
        <v>52</v>
      </c>
      <c r="E101" s="34" t="s">
        <v>55</v>
      </c>
      <c r="F101" s="35">
        <v>50</v>
      </c>
      <c r="G101" s="36">
        <v>34761</v>
      </c>
      <c r="H101" s="37">
        <v>9000</v>
      </c>
      <c r="I101" s="34"/>
      <c r="J101" s="34"/>
    </row>
    <row r="102" spans="1:10">
      <c r="A102" s="33">
        <v>98</v>
      </c>
      <c r="B102" s="34" t="s">
        <v>233</v>
      </c>
      <c r="C102" s="34" t="s">
        <v>201</v>
      </c>
      <c r="D102" s="34" t="s">
        <v>75</v>
      </c>
      <c r="E102" s="34" t="s">
        <v>59</v>
      </c>
      <c r="F102" s="35">
        <v>30</v>
      </c>
      <c r="G102" s="36">
        <v>32440</v>
      </c>
      <c r="H102" s="37">
        <v>10000</v>
      </c>
      <c r="I102" s="34"/>
      <c r="J102" s="34"/>
    </row>
    <row r="103" spans="1:10">
      <c r="A103" s="33">
        <v>99</v>
      </c>
      <c r="B103" s="34" t="s">
        <v>234</v>
      </c>
      <c r="C103" s="34" t="s">
        <v>100</v>
      </c>
      <c r="D103" s="34" t="s">
        <v>75</v>
      </c>
      <c r="E103" s="34" t="s">
        <v>79</v>
      </c>
      <c r="F103" s="35">
        <v>30</v>
      </c>
      <c r="G103" s="36">
        <v>32438</v>
      </c>
      <c r="H103" s="37">
        <v>10000</v>
      </c>
      <c r="I103" s="34"/>
      <c r="J103" s="34"/>
    </row>
    <row r="104" spans="1:10">
      <c r="A104" s="33">
        <v>100</v>
      </c>
      <c r="B104" s="34" t="s">
        <v>235</v>
      </c>
      <c r="C104" s="34" t="s">
        <v>118</v>
      </c>
      <c r="D104" s="34" t="s">
        <v>52</v>
      </c>
      <c r="E104" s="34" t="s">
        <v>59</v>
      </c>
      <c r="F104" s="35">
        <v>50</v>
      </c>
      <c r="G104" s="36">
        <v>33510</v>
      </c>
      <c r="H104" s="37">
        <v>5000</v>
      </c>
      <c r="I104" s="34"/>
      <c r="J104" s="34"/>
    </row>
  </sheetData>
  <customSheetViews>
    <customSheetView guid="{32169818-EA48-4D2C-804F-10AFEFD0B9B2}" showGridLines="0" state="hidden">
      <selection activeCell="I12" sqref="I12"/>
      <pageMargins left="0.75" right="0.75" top="1" bottom="1" header="0.5" footer="0.5"/>
      <headerFooter alignWithMargins="0"/>
    </customSheetView>
  </customSheetViews>
  <phoneticPr fontId="14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5"/>
  <dimension ref="A1:I48"/>
  <sheetViews>
    <sheetView showGridLines="0" workbookViewId="0">
      <selection activeCell="D19" sqref="D19"/>
    </sheetView>
  </sheetViews>
  <sheetFormatPr defaultColWidth="9.28515625" defaultRowHeight="12.75"/>
  <cols>
    <col min="1" max="1" width="10.7109375" style="1" bestFit="1" customWidth="1"/>
    <col min="2" max="2" width="10.7109375" style="1" customWidth="1"/>
    <col min="3" max="3" width="15.7109375" style="1" bestFit="1" customWidth="1"/>
    <col min="4" max="4" width="9.28515625" style="1"/>
    <col min="5" max="5" width="9.7109375" style="1" bestFit="1" customWidth="1"/>
    <col min="6" max="6" width="10.5703125" style="1" bestFit="1" customWidth="1"/>
    <col min="7" max="7" width="9.28515625" style="1"/>
    <col min="8" max="8" width="12.28515625" style="1" bestFit="1" customWidth="1"/>
    <col min="9" max="9" width="16.28515625" style="1" bestFit="1" customWidth="1"/>
    <col min="10" max="16384" width="9.28515625" style="1"/>
  </cols>
  <sheetData>
    <row r="1" spans="1:7">
      <c r="A1" s="92" t="s">
        <v>277</v>
      </c>
    </row>
    <row r="3" spans="1:7">
      <c r="A3" s="1" t="s">
        <v>516</v>
      </c>
    </row>
    <row r="4" spans="1:7">
      <c r="A4" s="1" t="s">
        <v>324</v>
      </c>
      <c r="G4" s="2"/>
    </row>
    <row r="5" spans="1:7">
      <c r="A5" s="1" t="s">
        <v>325</v>
      </c>
      <c r="G5" s="2"/>
    </row>
    <row r="6" spans="1:7">
      <c r="A6" s="1" t="s">
        <v>754</v>
      </c>
      <c r="G6" s="2"/>
    </row>
    <row r="7" spans="1:7">
      <c r="G7" s="2"/>
    </row>
    <row r="8" spans="1:7" ht="15">
      <c r="A8"/>
      <c r="B8" s="8" t="s">
        <v>276</v>
      </c>
      <c r="C8" s="8" t="s">
        <v>6</v>
      </c>
      <c r="D8" s="8" t="s">
        <v>7</v>
      </c>
      <c r="E8" s="9" t="s">
        <v>8</v>
      </c>
      <c r="F8" s="9" t="s">
        <v>47</v>
      </c>
    </row>
    <row r="9" spans="1:7" ht="12.75" customHeight="1">
      <c r="A9"/>
      <c r="B9" s="10"/>
      <c r="C9" s="10"/>
      <c r="D9" s="10"/>
      <c r="E9" s="10"/>
      <c r="F9" s="10"/>
    </row>
    <row r="10" spans="1:7" ht="12.75" customHeight="1">
      <c r="A10"/>
      <c r="B10" s="10"/>
      <c r="C10" s="10"/>
      <c r="D10" s="10"/>
      <c r="E10" s="10"/>
      <c r="F10" s="10"/>
    </row>
    <row r="11" spans="1:7" ht="12.75" customHeight="1">
      <c r="A11"/>
      <c r="B11" s="10"/>
      <c r="C11" s="10"/>
      <c r="D11" s="10"/>
      <c r="E11" s="10"/>
      <c r="F11" s="10"/>
    </row>
    <row r="12" spans="1:7" ht="12.75" customHeight="1">
      <c r="A12"/>
      <c r="B12" s="10"/>
      <c r="C12" s="10"/>
      <c r="D12" s="10"/>
      <c r="E12" s="10"/>
      <c r="F12" s="10"/>
    </row>
    <row r="13" spans="1:7" ht="12.75" customHeight="1">
      <c r="A13"/>
      <c r="B13" s="10"/>
      <c r="C13" s="10"/>
      <c r="D13" s="10"/>
      <c r="E13" s="10"/>
      <c r="F13" s="10"/>
    </row>
    <row r="14" spans="1:7" ht="12.75" customHeight="1">
      <c r="A14"/>
      <c r="B14" s="10"/>
      <c r="C14" s="10"/>
      <c r="D14" s="10"/>
      <c r="E14" s="10"/>
      <c r="F14" s="10"/>
    </row>
    <row r="15" spans="1:7" ht="12.75" customHeight="1">
      <c r="A15"/>
      <c r="B15" s="10"/>
      <c r="C15" s="10"/>
      <c r="D15" s="10"/>
      <c r="E15" s="10"/>
      <c r="F15" s="10"/>
    </row>
    <row r="16" spans="1:7" ht="12.75" customHeight="1">
      <c r="A16"/>
      <c r="B16" s="10"/>
      <c r="C16" s="10"/>
      <c r="D16" s="10"/>
      <c r="E16" s="10"/>
      <c r="F16" s="10"/>
    </row>
    <row r="17" spans="1:9" ht="12.75" customHeight="1">
      <c r="A17"/>
      <c r="B17" s="10"/>
      <c r="C17" s="10"/>
      <c r="D17" s="10"/>
      <c r="E17" s="10"/>
      <c r="F17" s="10"/>
    </row>
    <row r="18" spans="1:9" ht="12.75" customHeight="1">
      <c r="A18"/>
      <c r="B18" s="10"/>
      <c r="C18" s="10"/>
      <c r="D18" s="10"/>
      <c r="E18" s="10"/>
      <c r="F18" s="10"/>
      <c r="G18" s="57"/>
    </row>
    <row r="19" spans="1:9" ht="12.75" customHeight="1">
      <c r="A19"/>
      <c r="B19" s="10"/>
      <c r="C19" s="10"/>
      <c r="D19" s="10"/>
      <c r="E19" s="10"/>
      <c r="F19" s="10"/>
    </row>
    <row r="20" spans="1:9" ht="12.75" customHeight="1">
      <c r="A20"/>
      <c r="B20" s="10"/>
      <c r="C20" s="10"/>
      <c r="D20" s="10"/>
      <c r="E20" s="10"/>
      <c r="F20" s="10"/>
    </row>
    <row r="21" spans="1:9" ht="12.75" customHeight="1">
      <c r="A21" s="11"/>
      <c r="B21" s="11"/>
      <c r="C21" s="11"/>
      <c r="D21" s="12"/>
      <c r="E21" s="13"/>
    </row>
    <row r="22" spans="1:9" ht="12.75" customHeight="1">
      <c r="D22" s="14"/>
      <c r="E22" s="14"/>
    </row>
    <row r="23" spans="1:9" ht="12.75" customHeight="1">
      <c r="D23" s="12"/>
      <c r="E23" s="12"/>
    </row>
    <row r="24" spans="1:9" ht="12.75" customHeight="1">
      <c r="C24"/>
      <c r="D24"/>
      <c r="E24"/>
      <c r="F24"/>
      <c r="G24"/>
      <c r="H24"/>
      <c r="I24"/>
    </row>
    <row r="25" spans="1:9" ht="12.75" customHeight="1">
      <c r="C25"/>
      <c r="D25"/>
      <c r="E25"/>
      <c r="F25"/>
      <c r="G25"/>
      <c r="H25"/>
      <c r="I25"/>
    </row>
    <row r="26" spans="1:9" ht="15">
      <c r="C26"/>
      <c r="D26"/>
      <c r="E26"/>
      <c r="F26"/>
      <c r="G26"/>
      <c r="H26"/>
      <c r="I26"/>
    </row>
    <row r="27" spans="1:9" ht="15">
      <c r="C27"/>
      <c r="D27"/>
      <c r="E27"/>
      <c r="F27"/>
      <c r="G27"/>
      <c r="H27"/>
      <c r="I27"/>
    </row>
    <row r="28" spans="1:9" ht="15">
      <c r="C28"/>
      <c r="D28"/>
      <c r="E28"/>
      <c r="F28"/>
      <c r="G28"/>
      <c r="H28"/>
      <c r="I28"/>
    </row>
    <row r="29" spans="1:9" ht="15">
      <c r="C29"/>
      <c r="D29"/>
      <c r="E29"/>
      <c r="F29"/>
      <c r="G29"/>
      <c r="H29"/>
      <c r="I29"/>
    </row>
    <row r="30" spans="1:9" ht="15">
      <c r="C30"/>
      <c r="D30"/>
      <c r="E30"/>
      <c r="F30"/>
      <c r="G30"/>
      <c r="H30"/>
      <c r="I30"/>
    </row>
    <row r="31" spans="1:9" ht="15">
      <c r="C31"/>
      <c r="D31"/>
      <c r="E31"/>
      <c r="F31"/>
      <c r="G31"/>
      <c r="H31"/>
      <c r="I31"/>
    </row>
    <row r="32" spans="1:9" ht="15">
      <c r="C32"/>
      <c r="D32"/>
      <c r="E32"/>
      <c r="F32"/>
      <c r="G32"/>
      <c r="H32"/>
      <c r="I32"/>
    </row>
    <row r="33" spans="1:9" ht="15">
      <c r="C33"/>
      <c r="D33"/>
      <c r="E33"/>
      <c r="F33"/>
      <c r="G33"/>
      <c r="H33"/>
      <c r="I33"/>
    </row>
    <row r="34" spans="1:9" ht="15">
      <c r="C34"/>
      <c r="D34"/>
      <c r="E34"/>
      <c r="F34"/>
      <c r="G34"/>
      <c r="H34"/>
      <c r="I34"/>
    </row>
    <row r="48" spans="1:9">
      <c r="A48" s="16"/>
      <c r="B48" s="16"/>
    </row>
  </sheetData>
  <customSheetViews>
    <customSheetView guid="{32169818-EA48-4D2C-804F-10AFEFD0B9B2}" showGridLines="0">
      <selection activeCell="D10" sqref="D10"/>
      <pageMargins left="0.75" right="0.75" top="1" bottom="1" header="0.5" footer="0.5"/>
      <pageSetup orientation="portrait" horizontalDpi="300" verticalDpi="300" r:id="rId1"/>
      <headerFooter alignWithMargins="0"/>
    </customSheetView>
  </customSheetViews>
  <phoneticPr fontId="0" type="noConversion"/>
  <dataValidations count="1">
    <dataValidation type="whole" allowBlank="1" showInputMessage="1" showErrorMessage="1" sqref="D21" xr:uid="{00000000-0002-0000-0B00-000000000000}">
      <formula1>25000</formula1>
      <formula2>75000</formula2>
    </dataValidation>
  </dataValidations>
  <pageMargins left="0.75" right="0.75" top="1" bottom="1" header="0.5" footer="0.5"/>
  <pageSetup orientation="portrait" horizontalDpi="300" verticalDpi="300" r:id="rId2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46195-C0F1-4228-B762-42BAB005A607}">
  <dimension ref="C3:G9"/>
  <sheetViews>
    <sheetView workbookViewId="0">
      <selection activeCell="H8" sqref="H8"/>
    </sheetView>
  </sheetViews>
  <sheetFormatPr defaultRowHeight="15"/>
  <cols>
    <col min="3" max="3" width="15.140625" customWidth="1"/>
    <col min="6" max="6" width="15.5703125" bestFit="1" customWidth="1"/>
  </cols>
  <sheetData>
    <row r="3" spans="3:7">
      <c r="C3" s="269" t="s">
        <v>756</v>
      </c>
      <c r="D3" s="269"/>
      <c r="F3" s="269" t="s">
        <v>757</v>
      </c>
      <c r="G3" s="269"/>
    </row>
    <row r="4" spans="3:7">
      <c r="C4" s="196" t="s">
        <v>758</v>
      </c>
      <c r="D4" s="196"/>
      <c r="F4" s="196" t="s">
        <v>759</v>
      </c>
      <c r="G4" s="196"/>
    </row>
    <row r="5" spans="3:7">
      <c r="C5" s="196" t="s">
        <v>760</v>
      </c>
      <c r="D5" s="196">
        <v>400000</v>
      </c>
      <c r="F5" s="196" t="s">
        <v>761</v>
      </c>
      <c r="G5" s="264"/>
    </row>
    <row r="6" spans="3:7">
      <c r="C6" s="196" t="s">
        <v>762</v>
      </c>
      <c r="D6" s="196">
        <v>48</v>
      </c>
    </row>
    <row r="7" spans="3:7">
      <c r="C7" s="196" t="s">
        <v>763</v>
      </c>
      <c r="D7" s="265">
        <v>0.09</v>
      </c>
    </row>
    <row r="8" spans="3:7">
      <c r="D8" s="266"/>
    </row>
    <row r="9" spans="3:7">
      <c r="E9" s="266"/>
    </row>
  </sheetData>
  <mergeCells count="2">
    <mergeCell ref="C3:D3"/>
    <mergeCell ref="F3:G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"/>
  <dimension ref="A1:L29"/>
  <sheetViews>
    <sheetView workbookViewId="0">
      <selection activeCell="C1" sqref="C1"/>
    </sheetView>
  </sheetViews>
  <sheetFormatPr defaultRowHeight="15"/>
  <cols>
    <col min="1" max="1" width="21" customWidth="1"/>
    <col min="2" max="2" width="12.7109375" bestFit="1" customWidth="1"/>
    <col min="3" max="3" width="35.7109375" customWidth="1"/>
    <col min="5" max="5" width="12.7109375" bestFit="1" customWidth="1"/>
  </cols>
  <sheetData>
    <row r="1" spans="1:12" ht="42" customHeight="1">
      <c r="A1" t="s">
        <v>256</v>
      </c>
      <c r="B1" s="59">
        <f>D1/10000</f>
        <v>8.2500000000000004E-2</v>
      </c>
      <c r="D1" s="58">
        <v>825</v>
      </c>
      <c r="J1" t="s">
        <v>256</v>
      </c>
      <c r="K1" s="56">
        <v>0.125</v>
      </c>
    </row>
    <row r="2" spans="1:12" ht="32.25" customHeight="1">
      <c r="A2" t="s">
        <v>250</v>
      </c>
      <c r="B2">
        <f>D2</f>
        <v>13</v>
      </c>
      <c r="D2" s="58">
        <v>13</v>
      </c>
      <c r="J2" t="s">
        <v>250</v>
      </c>
      <c r="K2">
        <v>13</v>
      </c>
    </row>
    <row r="3" spans="1:12" ht="36" customHeight="1">
      <c r="A3" t="s">
        <v>249</v>
      </c>
      <c r="B3">
        <f>D3*1000</f>
        <v>100000</v>
      </c>
      <c r="D3" s="60">
        <v>100</v>
      </c>
      <c r="J3" t="s">
        <v>249</v>
      </c>
      <c r="K3">
        <v>2000000</v>
      </c>
    </row>
    <row r="5" spans="1:12">
      <c r="A5" t="s">
        <v>257</v>
      </c>
      <c r="B5" s="55">
        <f>PMT(B1/12,B2*12,B3)</f>
        <v>-1047.076627037357</v>
      </c>
      <c r="J5" t="s">
        <v>257</v>
      </c>
      <c r="K5">
        <f>INDEX($B$10:$L$29,MATCH(K3,$A$10:$A$29,0),MATCH(K2,$B$9:$L$9,0))</f>
        <v>-20941.532540747135</v>
      </c>
    </row>
    <row r="9" spans="1:12">
      <c r="A9" s="55">
        <f>PMT(B1/12,B2*12,B3)</f>
        <v>-1047.076627037357</v>
      </c>
      <c r="B9">
        <v>10</v>
      </c>
      <c r="C9">
        <v>11</v>
      </c>
      <c r="D9">
        <v>12</v>
      </c>
      <c r="E9">
        <v>13</v>
      </c>
      <c r="F9">
        <v>14</v>
      </c>
      <c r="G9">
        <v>15</v>
      </c>
      <c r="H9">
        <v>16</v>
      </c>
      <c r="I9">
        <v>17</v>
      </c>
      <c r="J9">
        <v>18</v>
      </c>
      <c r="K9">
        <v>19</v>
      </c>
      <c r="L9">
        <v>20</v>
      </c>
    </row>
    <row r="10" spans="1:12">
      <c r="A10">
        <v>100000</v>
      </c>
      <c r="B10">
        <f t="dataTable" ref="B10:L29" dt2D="1" dtr="0" r1="B2" r2="B3"/>
        <v>-1226.5262508846417</v>
      </c>
      <c r="C10">
        <v>-1155.048369189524</v>
      </c>
      <c r="D10">
        <v>-1096.2072656990408</v>
      </c>
      <c r="E10">
        <v>-1047.076627037357</v>
      </c>
      <c r="F10">
        <v>-1005.5656027891556</v>
      </c>
      <c r="G10">
        <v>-970.14035779311519</v>
      </c>
      <c r="H10">
        <v>-939.65004368259247</v>
      </c>
      <c r="I10">
        <v>-913.21419322843667</v>
      </c>
      <c r="J10">
        <v>-890.1476505715201</v>
      </c>
      <c r="K10">
        <v>-869.90920808420299</v>
      </c>
      <c r="L10">
        <v>-852.0656523108712</v>
      </c>
    </row>
    <row r="11" spans="1:12">
      <c r="A11">
        <v>200000</v>
      </c>
      <c r="B11">
        <v>-2453.0525017692835</v>
      </c>
      <c r="C11">
        <v>-2310.096738379048</v>
      </c>
      <c r="D11">
        <v>-2192.4145313980816</v>
      </c>
      <c r="E11">
        <v>-2094.1532540747139</v>
      </c>
      <c r="F11">
        <v>-2011.1312055783112</v>
      </c>
      <c r="G11">
        <v>-1940.2807155862304</v>
      </c>
      <c r="H11">
        <v>-1879.3000873651849</v>
      </c>
      <c r="I11">
        <v>-1826.4283864568733</v>
      </c>
      <c r="J11">
        <v>-1780.2953011430402</v>
      </c>
      <c r="K11">
        <v>-1739.818416168406</v>
      </c>
      <c r="L11">
        <v>-1704.1313046217424</v>
      </c>
    </row>
    <row r="12" spans="1:12">
      <c r="A12">
        <v>300000</v>
      </c>
      <c r="B12">
        <v>-3679.5787526539248</v>
      </c>
      <c r="C12">
        <v>-3465.1451075685718</v>
      </c>
      <c r="D12">
        <v>-3288.6217970971225</v>
      </c>
      <c r="E12">
        <v>-3141.2298811120704</v>
      </c>
      <c r="F12">
        <v>-3016.6968083674669</v>
      </c>
      <c r="G12">
        <v>-2910.4210733793457</v>
      </c>
      <c r="H12">
        <v>-2818.9501310477772</v>
      </c>
      <c r="I12">
        <v>-2739.6425796853096</v>
      </c>
      <c r="J12">
        <v>-2670.4429517145604</v>
      </c>
      <c r="K12">
        <v>-2609.7276242526086</v>
      </c>
      <c r="L12">
        <v>-2556.1969569326134</v>
      </c>
    </row>
    <row r="13" spans="1:12">
      <c r="A13">
        <v>400000</v>
      </c>
      <c r="B13">
        <v>-4906.105003538567</v>
      </c>
      <c r="C13">
        <v>-4620.193476758096</v>
      </c>
      <c r="D13">
        <v>-4384.8290627961633</v>
      </c>
      <c r="E13">
        <v>-4188.3065081494278</v>
      </c>
      <c r="F13">
        <v>-4022.2624111566224</v>
      </c>
      <c r="G13">
        <v>-3880.5614311724607</v>
      </c>
      <c r="H13">
        <v>-3758.6001747303699</v>
      </c>
      <c r="I13">
        <v>-3652.8567729137467</v>
      </c>
      <c r="J13">
        <v>-3560.5906022860804</v>
      </c>
      <c r="K13">
        <v>-3479.6368323368119</v>
      </c>
      <c r="L13">
        <v>-3408.2626092434848</v>
      </c>
    </row>
    <row r="14" spans="1:12">
      <c r="A14">
        <v>500000</v>
      </c>
      <c r="B14">
        <v>-6132.6312544232078</v>
      </c>
      <c r="C14">
        <v>-5775.2418459476194</v>
      </c>
      <c r="D14">
        <v>-5481.0363284952036</v>
      </c>
      <c r="E14">
        <v>-5235.3831351867839</v>
      </c>
      <c r="F14">
        <v>-5027.8280139457775</v>
      </c>
      <c r="G14">
        <v>-4850.7017889655763</v>
      </c>
      <c r="H14">
        <v>-4698.2502184129626</v>
      </c>
      <c r="I14">
        <v>-4566.0709661421824</v>
      </c>
      <c r="J14">
        <v>-4450.7382528576009</v>
      </c>
      <c r="K14">
        <v>-4349.5460404210144</v>
      </c>
      <c r="L14">
        <v>-4260.3282615543558</v>
      </c>
    </row>
    <row r="15" spans="1:12">
      <c r="A15">
        <v>600000</v>
      </c>
      <c r="B15">
        <v>-7359.1575053078495</v>
      </c>
      <c r="C15">
        <v>-6930.2902151371436</v>
      </c>
      <c r="D15">
        <v>-6577.2435941942449</v>
      </c>
      <c r="E15">
        <v>-6282.4597622241408</v>
      </c>
      <c r="F15">
        <v>-6033.3936167349339</v>
      </c>
      <c r="G15">
        <v>-5820.8421467586913</v>
      </c>
      <c r="H15">
        <v>-5637.9002620955544</v>
      </c>
      <c r="I15">
        <v>-5479.2851593706191</v>
      </c>
      <c r="J15">
        <v>-5340.8859034291208</v>
      </c>
      <c r="K15">
        <v>-5219.4552485052172</v>
      </c>
      <c r="L15">
        <v>-5112.3939138652268</v>
      </c>
    </row>
    <row r="16" spans="1:12">
      <c r="A16">
        <v>700000</v>
      </c>
      <c r="B16">
        <v>-8585.6837561924913</v>
      </c>
      <c r="C16">
        <v>-8085.3385843266678</v>
      </c>
      <c r="D16">
        <v>-7673.4508598932853</v>
      </c>
      <c r="E16">
        <v>-7329.5363892614987</v>
      </c>
      <c r="F16">
        <v>-7038.9592195240884</v>
      </c>
      <c r="G16">
        <v>-6790.9825045518064</v>
      </c>
      <c r="H16">
        <v>-6577.550305778147</v>
      </c>
      <c r="I16">
        <v>-6392.4993525990567</v>
      </c>
      <c r="J16">
        <v>-6231.0335540006408</v>
      </c>
      <c r="K16">
        <v>-6089.364456589421</v>
      </c>
      <c r="L16">
        <v>-5964.4595661760986</v>
      </c>
    </row>
    <row r="17" spans="1:12">
      <c r="A17">
        <v>800000</v>
      </c>
      <c r="B17">
        <v>-9812.2100070771339</v>
      </c>
      <c r="C17">
        <v>-9240.3869535161921</v>
      </c>
      <c r="D17">
        <v>-8769.6581255923265</v>
      </c>
      <c r="E17">
        <v>-8376.6130162988557</v>
      </c>
      <c r="F17">
        <v>-8044.5248223132448</v>
      </c>
      <c r="G17">
        <v>-7761.1228623449215</v>
      </c>
      <c r="H17">
        <v>-7517.2003494607397</v>
      </c>
      <c r="I17">
        <v>-7305.7135458274934</v>
      </c>
      <c r="J17">
        <v>-7121.1812045721608</v>
      </c>
      <c r="K17">
        <v>-6959.2736646736239</v>
      </c>
      <c r="L17">
        <v>-6816.5252184869696</v>
      </c>
    </row>
    <row r="18" spans="1:12">
      <c r="A18">
        <v>900000</v>
      </c>
      <c r="B18">
        <v>-11038.736257961775</v>
      </c>
      <c r="C18">
        <v>-10395.435322705716</v>
      </c>
      <c r="D18">
        <v>-9865.8653912913651</v>
      </c>
      <c r="E18">
        <v>-9423.6896433362108</v>
      </c>
      <c r="F18">
        <v>-9050.0904251023985</v>
      </c>
      <c r="G18">
        <v>-8731.2632201380366</v>
      </c>
      <c r="H18">
        <v>-8456.8503931433333</v>
      </c>
      <c r="I18">
        <v>-8218.9277390559291</v>
      </c>
      <c r="J18">
        <v>-8011.3288551436817</v>
      </c>
      <c r="K18">
        <v>-7829.1828727578268</v>
      </c>
      <c r="L18">
        <v>-7668.5908707978406</v>
      </c>
    </row>
    <row r="19" spans="1:12">
      <c r="A19">
        <v>1000000</v>
      </c>
      <c r="B19">
        <v>-12265.262508846416</v>
      </c>
      <c r="C19">
        <v>-11550.483691895239</v>
      </c>
      <c r="D19">
        <v>-10962.072656990407</v>
      </c>
      <c r="E19">
        <v>-10470.766270373568</v>
      </c>
      <c r="F19">
        <v>-10055.656027891555</v>
      </c>
      <c r="G19">
        <v>-9701.4035779311525</v>
      </c>
      <c r="H19">
        <v>-9396.5004368259251</v>
      </c>
      <c r="I19">
        <v>-9132.1419322843649</v>
      </c>
      <c r="J19">
        <v>-8901.4765057152017</v>
      </c>
      <c r="K19">
        <v>-8699.0920808420287</v>
      </c>
      <c r="L19">
        <v>-8520.6565231087116</v>
      </c>
    </row>
    <row r="20" spans="1:12">
      <c r="A20">
        <v>1100000</v>
      </c>
      <c r="B20">
        <v>-13491.788759731058</v>
      </c>
      <c r="C20">
        <v>-12705.532061084763</v>
      </c>
      <c r="D20">
        <v>-12058.279922689448</v>
      </c>
      <c r="E20">
        <v>-11517.842897410925</v>
      </c>
      <c r="F20">
        <v>-11061.221630680711</v>
      </c>
      <c r="G20">
        <v>-10671.543935724269</v>
      </c>
      <c r="H20">
        <v>-10336.150480508517</v>
      </c>
      <c r="I20">
        <v>-10045.356125512802</v>
      </c>
      <c r="J20">
        <v>-9791.6241562867199</v>
      </c>
      <c r="K20">
        <v>-9569.0012889262325</v>
      </c>
      <c r="L20">
        <v>-9372.7221754195834</v>
      </c>
    </row>
    <row r="21" spans="1:12">
      <c r="A21">
        <v>1200000</v>
      </c>
      <c r="B21">
        <v>-14718.315010615699</v>
      </c>
      <c r="C21">
        <v>-13860.580430274287</v>
      </c>
      <c r="D21">
        <v>-13154.48718838849</v>
      </c>
      <c r="E21">
        <v>-12564.919524448282</v>
      </c>
      <c r="F21">
        <v>-12066.787233469868</v>
      </c>
      <c r="G21">
        <v>-11641.684293517383</v>
      </c>
      <c r="H21">
        <v>-11275.800524191109</v>
      </c>
      <c r="I21">
        <v>-10958.570318741238</v>
      </c>
      <c r="J21">
        <v>-10681.771806858242</v>
      </c>
      <c r="K21">
        <v>-10438.910497010434</v>
      </c>
      <c r="L21">
        <v>-10224.787827730454</v>
      </c>
    </row>
    <row r="22" spans="1:12">
      <c r="A22">
        <v>1300000</v>
      </c>
      <c r="B22">
        <v>-15944.84126150034</v>
      </c>
      <c r="C22">
        <v>-15015.628799463811</v>
      </c>
      <c r="D22">
        <v>-14250.694454087528</v>
      </c>
      <c r="E22">
        <v>-13611.996151485639</v>
      </c>
      <c r="F22">
        <v>-13072.35283625902</v>
      </c>
      <c r="G22">
        <v>-12611.824651310499</v>
      </c>
      <c r="H22">
        <v>-12215.450567873702</v>
      </c>
      <c r="I22">
        <v>-11871.784511969676</v>
      </c>
      <c r="J22">
        <v>-11571.919457429762</v>
      </c>
      <c r="K22">
        <v>-11308.819705094638</v>
      </c>
      <c r="L22">
        <v>-11076.853480041325</v>
      </c>
    </row>
    <row r="23" spans="1:12">
      <c r="A23">
        <v>1400000</v>
      </c>
      <c r="B23">
        <v>-17171.367512384983</v>
      </c>
      <c r="C23">
        <v>-16170.677168653336</v>
      </c>
      <c r="D23">
        <v>-15346.901719786571</v>
      </c>
      <c r="E23">
        <v>-14659.072778522997</v>
      </c>
      <c r="F23">
        <v>-14077.918439048177</v>
      </c>
      <c r="G23">
        <v>-13581.965009103613</v>
      </c>
      <c r="H23">
        <v>-13155.100611556294</v>
      </c>
      <c r="I23">
        <v>-12784.998705198113</v>
      </c>
      <c r="J23">
        <v>-12462.067108001282</v>
      </c>
      <c r="K23">
        <v>-12178.728913178842</v>
      </c>
      <c r="L23">
        <v>-11928.919132352197</v>
      </c>
    </row>
    <row r="24" spans="1:12">
      <c r="A24">
        <v>1500000</v>
      </c>
      <c r="B24">
        <v>-18397.893763269625</v>
      </c>
      <c r="C24">
        <v>-17325.72553784286</v>
      </c>
      <c r="D24">
        <v>-16443.108985485611</v>
      </c>
      <c r="E24">
        <v>-15706.149405560353</v>
      </c>
      <c r="F24">
        <v>-15083.484041837333</v>
      </c>
      <c r="G24">
        <v>-14552.105366896727</v>
      </c>
      <c r="H24">
        <v>-14094.750655238888</v>
      </c>
      <c r="I24">
        <v>-13698.212898426549</v>
      </c>
      <c r="J24">
        <v>-13352.214758572802</v>
      </c>
      <c r="K24">
        <v>-13048.638121263044</v>
      </c>
      <c r="L24">
        <v>-12780.984784663067</v>
      </c>
    </row>
    <row r="25" spans="1:12">
      <c r="A25">
        <v>1600000</v>
      </c>
      <c r="B25">
        <v>-19624.420014154268</v>
      </c>
      <c r="C25">
        <v>-18480.773907032384</v>
      </c>
      <c r="D25">
        <v>-17539.316251184653</v>
      </c>
      <c r="E25">
        <v>-16753.226032597711</v>
      </c>
      <c r="F25">
        <v>-16089.04964462649</v>
      </c>
      <c r="G25">
        <v>-15522.245724689843</v>
      </c>
      <c r="H25">
        <v>-15034.400698921479</v>
      </c>
      <c r="I25">
        <v>-14611.427091654987</v>
      </c>
      <c r="J25">
        <v>-14242.362409144322</v>
      </c>
      <c r="K25">
        <v>-13918.547329347248</v>
      </c>
      <c r="L25">
        <v>-13633.050436973939</v>
      </c>
    </row>
    <row r="26" spans="1:12">
      <c r="A26">
        <v>1700000</v>
      </c>
      <c r="B26">
        <v>-20850.946265038907</v>
      </c>
      <c r="C26">
        <v>-19635.822276221908</v>
      </c>
      <c r="D26">
        <v>-18635.523516883692</v>
      </c>
      <c r="E26">
        <v>-17800.302659635068</v>
      </c>
      <c r="F26">
        <v>-17094.615247415644</v>
      </c>
      <c r="G26">
        <v>-16492.386082482957</v>
      </c>
      <c r="H26">
        <v>-15974.050742604071</v>
      </c>
      <c r="I26">
        <v>-15524.641284883422</v>
      </c>
      <c r="J26">
        <v>-15132.510059715842</v>
      </c>
      <c r="K26">
        <v>-14788.456537431452</v>
      </c>
      <c r="L26">
        <v>-14485.116089284809</v>
      </c>
    </row>
    <row r="27" spans="1:12">
      <c r="A27">
        <v>1800000</v>
      </c>
      <c r="B27">
        <v>-22077.47251592355</v>
      </c>
      <c r="C27">
        <v>-20790.870645411433</v>
      </c>
      <c r="D27">
        <v>-19731.73078258273</v>
      </c>
      <c r="E27">
        <v>-18847.379286672422</v>
      </c>
      <c r="F27">
        <v>-18100.180850204797</v>
      </c>
      <c r="G27">
        <v>-17462.526440276073</v>
      </c>
      <c r="H27">
        <v>-16913.700786286667</v>
      </c>
      <c r="I27">
        <v>-16437.855478111858</v>
      </c>
      <c r="J27">
        <v>-16022.657710287363</v>
      </c>
      <c r="K27">
        <v>-15658.365745515654</v>
      </c>
      <c r="L27">
        <v>-15337.181741595681</v>
      </c>
    </row>
    <row r="28" spans="1:12">
      <c r="A28">
        <v>1900000</v>
      </c>
      <c r="B28">
        <v>-23303.998766808192</v>
      </c>
      <c r="C28">
        <v>-21945.919014600953</v>
      </c>
      <c r="D28">
        <v>-20827.938048281776</v>
      </c>
      <c r="E28">
        <v>-19894.455913709779</v>
      </c>
      <c r="F28">
        <v>-19105.746452993953</v>
      </c>
      <c r="G28">
        <v>-18432.666798069189</v>
      </c>
      <c r="H28">
        <v>-17853.350829969258</v>
      </c>
      <c r="I28">
        <v>-17351.069671340294</v>
      </c>
      <c r="J28">
        <v>-16912.805360858882</v>
      </c>
      <c r="K28">
        <v>-16528.274953599856</v>
      </c>
      <c r="L28">
        <v>-16189.247393906555</v>
      </c>
    </row>
    <row r="29" spans="1:12">
      <c r="A29">
        <v>2000000</v>
      </c>
      <c r="B29">
        <v>-24530.525017692831</v>
      </c>
      <c r="C29">
        <v>-23100.967383790477</v>
      </c>
      <c r="D29">
        <v>-21924.145313980815</v>
      </c>
      <c r="E29">
        <v>-20941.532540747135</v>
      </c>
      <c r="F29">
        <v>-20111.31205578311</v>
      </c>
      <c r="G29">
        <v>-19402.807155862305</v>
      </c>
      <c r="H29">
        <v>-18793.00087365185</v>
      </c>
      <c r="I29">
        <v>-18264.28386456873</v>
      </c>
      <c r="J29">
        <v>-17802.953011430403</v>
      </c>
      <c r="K29">
        <v>-17398.184161684057</v>
      </c>
      <c r="L29">
        <v>-17041.313046217423</v>
      </c>
    </row>
  </sheetData>
  <customSheetViews>
    <customSheetView guid="{32169818-EA48-4D2C-804F-10AFEFD0B9B2}" state="hidden">
      <selection activeCell="C1" sqref="C1"/>
      <pageMargins left="0.75" right="0.75" top="1" bottom="1" header="0.5" footer="0.5"/>
      <headerFooter alignWithMargins="0"/>
    </customSheetView>
  </customSheetViews>
  <phoneticPr fontId="14" type="noConversion"/>
  <dataValidations count="2">
    <dataValidation type="list" allowBlank="1" showInputMessage="1" showErrorMessage="1" sqref="K2" xr:uid="{00000000-0002-0000-0C00-000000000000}">
      <formula1>$B$9:$L$9</formula1>
    </dataValidation>
    <dataValidation type="list" allowBlank="1" showInputMessage="1" showErrorMessage="1" sqref="K3" xr:uid="{00000000-0002-0000-0C00-000001000000}">
      <formula1>$A$10:$A$29</formula1>
    </dataValidation>
  </dataValidations>
  <pageMargins left="0.75" right="0.75" top="1" bottom="1" header="0.5" footer="0.5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1746" r:id="rId3" name="Spinner 2">
              <controlPr defaultSize="0" autoPict="0">
                <anchor moveWithCells="1" sizeWithCells="1">
                  <from>
                    <xdr:col>2</xdr:col>
                    <xdr:colOff>295275</xdr:colOff>
                    <xdr:row>0</xdr:row>
                    <xdr:rowOff>38100</xdr:rowOff>
                  </from>
                  <to>
                    <xdr:col>2</xdr:col>
                    <xdr:colOff>714375</xdr:colOff>
                    <xdr:row>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47" r:id="rId4" name="Scroll Bar 3">
              <controlPr defaultSize="0" autoPict="0">
                <anchor moveWithCells="1">
                  <from>
                    <xdr:col>2</xdr:col>
                    <xdr:colOff>180975</xdr:colOff>
                    <xdr:row>1</xdr:row>
                    <xdr:rowOff>133350</xdr:rowOff>
                  </from>
                  <to>
                    <xdr:col>2</xdr:col>
                    <xdr:colOff>1895475</xdr:colOff>
                    <xdr:row>1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48" r:id="rId5" name="Scroll Bar 4">
              <controlPr defaultSize="0" autoPict="0">
                <anchor moveWithCells="1">
                  <from>
                    <xdr:col>2</xdr:col>
                    <xdr:colOff>114300</xdr:colOff>
                    <xdr:row>2</xdr:row>
                    <xdr:rowOff>142875</xdr:rowOff>
                  </from>
                  <to>
                    <xdr:col>2</xdr:col>
                    <xdr:colOff>2047875</xdr:colOff>
                    <xdr:row>2</xdr:row>
                    <xdr:rowOff>400050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2A207-9FC6-419E-9231-68848F4FE99D}">
  <dimension ref="C2:C12"/>
  <sheetViews>
    <sheetView showGridLines="0" workbookViewId="0">
      <selection activeCell="F7" sqref="F7"/>
    </sheetView>
  </sheetViews>
  <sheetFormatPr defaultRowHeight="15"/>
  <cols>
    <col min="3" max="3" width="18.28515625" bestFit="1" customWidth="1"/>
  </cols>
  <sheetData>
    <row r="2" spans="3:3">
      <c r="C2" s="200" t="s">
        <v>281</v>
      </c>
    </row>
    <row r="3" spans="3:3">
      <c r="C3" s="202" t="s">
        <v>492</v>
      </c>
    </row>
    <row r="4" spans="3:3">
      <c r="C4" s="202" t="s">
        <v>493</v>
      </c>
    </row>
    <row r="5" spans="3:3">
      <c r="C5" s="202" t="s">
        <v>494</v>
      </c>
    </row>
    <row r="6" spans="3:3">
      <c r="C6" s="202" t="s">
        <v>495</v>
      </c>
    </row>
    <row r="7" spans="3:3">
      <c r="C7" s="202" t="s">
        <v>496</v>
      </c>
    </row>
    <row r="8" spans="3:3">
      <c r="C8" s="202" t="s">
        <v>497</v>
      </c>
    </row>
    <row r="9" spans="3:3">
      <c r="C9" s="202" t="s">
        <v>498</v>
      </c>
    </row>
    <row r="10" spans="3:3">
      <c r="C10" s="202" t="s">
        <v>499</v>
      </c>
    </row>
    <row r="11" spans="3:3">
      <c r="C11" s="202" t="s">
        <v>500</v>
      </c>
    </row>
    <row r="12" spans="3:3">
      <c r="C12" s="202" t="s">
        <v>501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6"/>
  <dimension ref="A1:IO13"/>
  <sheetViews>
    <sheetView showGridLines="0" zoomScale="140" zoomScaleNormal="140" workbookViewId="0">
      <selection activeCell="D1" sqref="D1"/>
    </sheetView>
  </sheetViews>
  <sheetFormatPr defaultColWidth="9.28515625" defaultRowHeight="15"/>
  <cols>
    <col min="1" max="1" width="8.7109375" customWidth="1"/>
    <col min="4" max="4" width="12.42578125" style="1" customWidth="1"/>
    <col min="5" max="5" width="11.28515625" style="1" bestFit="1" customWidth="1"/>
    <col min="6" max="7" width="9.28515625" style="1"/>
    <col min="8" max="8" width="10.28515625" style="1" bestFit="1" customWidth="1"/>
    <col min="9" max="16384" width="9.28515625" style="1"/>
  </cols>
  <sheetData>
    <row r="1" spans="4:249">
      <c r="D1" s="20" t="s">
        <v>26</v>
      </c>
      <c r="E1" s="19" t="s">
        <v>25</v>
      </c>
    </row>
    <row r="2" spans="4:249">
      <c r="D2" s="30" t="s">
        <v>11</v>
      </c>
      <c r="E2" s="17" t="s">
        <v>14</v>
      </c>
    </row>
    <row r="3" spans="4:249">
      <c r="D3" s="18" t="s">
        <v>9</v>
      </c>
      <c r="E3" s="17" t="s">
        <v>14</v>
      </c>
      <c r="H3" s="2"/>
    </row>
    <row r="4" spans="4:249">
      <c r="D4" s="18" t="s">
        <v>24</v>
      </c>
      <c r="E4" s="17" t="s">
        <v>15</v>
      </c>
      <c r="H4" s="2"/>
    </row>
    <row r="5" spans="4:249">
      <c r="D5" s="18" t="s">
        <v>23</v>
      </c>
      <c r="E5" s="17" t="s">
        <v>15</v>
      </c>
      <c r="H5" s="2"/>
    </row>
    <row r="6" spans="4:249">
      <c r="D6" s="18" t="s">
        <v>22</v>
      </c>
      <c r="E6" s="17" t="s">
        <v>15</v>
      </c>
      <c r="H6" s="2"/>
    </row>
    <row r="7" spans="4:249">
      <c r="D7" s="18" t="s">
        <v>21</v>
      </c>
      <c r="E7" s="17" t="s">
        <v>20</v>
      </c>
      <c r="H7" s="2"/>
    </row>
    <row r="8" spans="4:249">
      <c r="D8" s="18" t="s">
        <v>10</v>
      </c>
      <c r="E8" s="17" t="s">
        <v>15</v>
      </c>
      <c r="H8" s="2"/>
      <c r="IO8" s="1" t="e">
        <f>MAX(salary)</f>
        <v>#NAME?</v>
      </c>
    </row>
    <row r="9" spans="4:249">
      <c r="D9" s="18" t="s">
        <v>19</v>
      </c>
      <c r="E9" s="17" t="s">
        <v>15</v>
      </c>
      <c r="H9" s="2"/>
    </row>
    <row r="10" spans="4:249">
      <c r="D10" s="18" t="s">
        <v>18</v>
      </c>
      <c r="E10" s="17" t="s">
        <v>14</v>
      </c>
      <c r="H10" s="2"/>
    </row>
    <row r="11" spans="4:249">
      <c r="D11" s="18" t="s">
        <v>12</v>
      </c>
      <c r="E11" s="17" t="s">
        <v>15</v>
      </c>
      <c r="H11" s="2"/>
    </row>
    <row r="12" spans="4:249">
      <c r="D12" s="18" t="s">
        <v>17</v>
      </c>
      <c r="E12" s="17" t="s">
        <v>16</v>
      </c>
    </row>
    <row r="13" spans="4:249">
      <c r="D13" s="18" t="s">
        <v>13</v>
      </c>
      <c r="E13" s="17" t="s">
        <v>15</v>
      </c>
    </row>
  </sheetData>
  <customSheetViews>
    <customSheetView guid="{32169818-EA48-4D2C-804F-10AFEFD0B9B2}" showGridLines="0">
      <selection activeCell="C13" sqref="C13"/>
      <pageMargins left="0.75" right="0.75" top="1" bottom="1" header="0.5" footer="0.5"/>
      <pageSetup orientation="portrait" horizontalDpi="300" verticalDpi="300" r:id="rId1"/>
      <headerFooter alignWithMargins="0"/>
    </customSheetView>
  </customSheetViews>
  <phoneticPr fontId="0" type="noConversion"/>
  <pageMargins left="0.75" right="0.75" top="1" bottom="1" header="0.5" footer="0.5"/>
  <pageSetup orientation="portrait" horizontalDpi="300" verticalDpi="300" r:id="rId2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7"/>
  <dimension ref="A1:AB5094"/>
  <sheetViews>
    <sheetView showGridLines="0" zoomScale="130" zoomScaleNormal="130" workbookViewId="0">
      <selection activeCell="D5" sqref="D5"/>
    </sheetView>
  </sheetViews>
  <sheetFormatPr defaultColWidth="9.28515625" defaultRowHeight="12.75"/>
  <cols>
    <col min="1" max="1" width="14.5703125" style="1" customWidth="1"/>
    <col min="2" max="2" width="13.5703125" style="1" customWidth="1"/>
    <col min="3" max="3" width="12.5703125" style="1" customWidth="1"/>
    <col min="4" max="4" width="29.7109375" style="21" customWidth="1"/>
    <col min="5" max="5" width="11.5703125" style="1" customWidth="1"/>
    <col min="6" max="6" width="10.42578125" style="1" customWidth="1"/>
    <col min="7" max="7" width="12.7109375" style="1" bestFit="1" customWidth="1"/>
    <col min="8" max="8" width="9.28515625" style="1"/>
    <col min="9" max="9" width="13.7109375" style="1" bestFit="1" customWidth="1"/>
    <col min="10" max="10" width="16" style="1" bestFit="1" customWidth="1"/>
    <col min="11" max="11" width="15.42578125" style="1" bestFit="1" customWidth="1"/>
    <col min="12" max="12" width="16" style="1" bestFit="1" customWidth="1"/>
    <col min="13" max="16384" width="9.28515625" style="1"/>
  </cols>
  <sheetData>
    <row r="1" spans="1:12" ht="14.25">
      <c r="A1" s="29" t="s">
        <v>42</v>
      </c>
      <c r="B1" s="29" t="s">
        <v>41</v>
      </c>
      <c r="C1" s="29" t="s">
        <v>26</v>
      </c>
      <c r="D1" s="29" t="s">
        <v>40</v>
      </c>
      <c r="E1" s="29" t="s">
        <v>39</v>
      </c>
      <c r="F1" s="29" t="s">
        <v>38</v>
      </c>
      <c r="G1" s="29" t="s">
        <v>37</v>
      </c>
    </row>
    <row r="2" spans="1:12" ht="18">
      <c r="A2" s="24">
        <v>38021</v>
      </c>
      <c r="B2" s="23">
        <v>1008</v>
      </c>
      <c r="C2" s="23" t="s">
        <v>11</v>
      </c>
      <c r="D2" s="194"/>
      <c r="E2" s="23" t="s">
        <v>36</v>
      </c>
      <c r="F2" s="23">
        <v>8997</v>
      </c>
      <c r="G2" s="23">
        <v>112</v>
      </c>
      <c r="H2" s="15"/>
      <c r="K2" s="28"/>
    </row>
    <row r="3" spans="1:12" ht="18">
      <c r="A3" s="24">
        <v>38020</v>
      </c>
      <c r="B3" s="23">
        <v>1006</v>
      </c>
      <c r="C3" s="23" t="s">
        <v>9</v>
      </c>
      <c r="D3" s="194"/>
      <c r="E3" s="23" t="s">
        <v>36</v>
      </c>
      <c r="F3" s="23">
        <v>3030</v>
      </c>
      <c r="G3" s="23">
        <v>23</v>
      </c>
      <c r="H3" s="15"/>
      <c r="K3" s="26"/>
    </row>
    <row r="4" spans="1:12" ht="18">
      <c r="A4" s="24">
        <v>38022</v>
      </c>
      <c r="B4" s="23">
        <v>1010</v>
      </c>
      <c r="C4" s="23" t="s">
        <v>13</v>
      </c>
      <c r="D4" s="194"/>
      <c r="E4" s="23" t="s">
        <v>36</v>
      </c>
      <c r="F4" s="23">
        <v>448</v>
      </c>
      <c r="G4" s="23">
        <v>63</v>
      </c>
      <c r="H4" s="15"/>
      <c r="J4" s="2"/>
      <c r="K4" s="26"/>
    </row>
    <row r="5" spans="1:12" ht="18">
      <c r="A5" s="24">
        <v>38018</v>
      </c>
      <c r="B5" s="23">
        <v>1014</v>
      </c>
      <c r="C5" s="23" t="s">
        <v>13</v>
      </c>
      <c r="D5" s="194"/>
      <c r="E5" s="23" t="s">
        <v>36</v>
      </c>
      <c r="F5" s="23">
        <v>1200</v>
      </c>
      <c r="G5" s="23">
        <v>184</v>
      </c>
      <c r="H5" s="15"/>
      <c r="J5" s="2"/>
      <c r="K5" s="26"/>
      <c r="L5" s="2"/>
    </row>
    <row r="6" spans="1:12" ht="18">
      <c r="A6" s="24">
        <v>38019</v>
      </c>
      <c r="B6" s="23">
        <v>1014</v>
      </c>
      <c r="C6" s="23" t="s">
        <v>13</v>
      </c>
      <c r="D6" s="194"/>
      <c r="E6" s="23" t="s">
        <v>36</v>
      </c>
      <c r="F6" s="23">
        <v>836</v>
      </c>
      <c r="G6" s="23">
        <v>131</v>
      </c>
      <c r="H6" s="15"/>
      <c r="I6" s="27"/>
      <c r="J6" s="2"/>
      <c r="K6" s="26"/>
      <c r="L6" s="3"/>
    </row>
    <row r="7" spans="1:12" ht="18">
      <c r="A7" s="24">
        <v>38141</v>
      </c>
      <c r="B7" s="23">
        <v>1003</v>
      </c>
      <c r="C7" s="23" t="s">
        <v>22</v>
      </c>
      <c r="D7" s="194"/>
      <c r="E7" s="23" t="s">
        <v>36</v>
      </c>
      <c r="F7" s="23">
        <v>6650</v>
      </c>
      <c r="G7" s="23">
        <v>74</v>
      </c>
      <c r="H7" s="15"/>
      <c r="I7" s="2"/>
      <c r="J7" s="2"/>
    </row>
    <row r="8" spans="1:12" ht="18">
      <c r="A8" s="24">
        <v>38140</v>
      </c>
      <c r="B8" s="23">
        <v>1001</v>
      </c>
      <c r="C8" s="23" t="s">
        <v>12</v>
      </c>
      <c r="D8" s="194"/>
      <c r="E8" s="23" t="s">
        <v>36</v>
      </c>
      <c r="F8" s="23">
        <v>545</v>
      </c>
      <c r="G8" s="23">
        <v>45</v>
      </c>
      <c r="H8" s="15"/>
      <c r="I8" s="25"/>
      <c r="J8" s="2"/>
    </row>
    <row r="9" spans="1:12" ht="18">
      <c r="A9" s="24">
        <v>38023</v>
      </c>
      <c r="B9" s="23">
        <v>1012</v>
      </c>
      <c r="C9" s="23" t="s">
        <v>18</v>
      </c>
      <c r="D9" s="194"/>
      <c r="E9" s="23" t="s">
        <v>35</v>
      </c>
      <c r="F9" s="23">
        <v>1650</v>
      </c>
      <c r="G9" s="23">
        <v>60</v>
      </c>
      <c r="H9" s="15"/>
      <c r="I9" s="3"/>
      <c r="J9" s="3"/>
    </row>
    <row r="10" spans="1:12" ht="18">
      <c r="A10" s="24">
        <v>38174</v>
      </c>
      <c r="B10" s="23">
        <v>1011</v>
      </c>
      <c r="C10" s="23" t="s">
        <v>24</v>
      </c>
      <c r="D10" s="194"/>
      <c r="E10" s="23" t="s">
        <v>34</v>
      </c>
      <c r="F10" s="23">
        <v>79</v>
      </c>
      <c r="G10" s="23">
        <v>117</v>
      </c>
      <c r="H10" s="15"/>
      <c r="J10" s="3"/>
    </row>
    <row r="11" spans="1:12" ht="18">
      <c r="A11" s="24">
        <v>38024</v>
      </c>
      <c r="B11" s="23">
        <v>1002</v>
      </c>
      <c r="C11" s="23" t="s">
        <v>33</v>
      </c>
      <c r="D11" s="194"/>
      <c r="E11" s="23" t="s">
        <v>32</v>
      </c>
      <c r="F11" s="23">
        <v>987</v>
      </c>
      <c r="G11" s="23">
        <v>93</v>
      </c>
      <c r="H11" s="15"/>
    </row>
    <row r="12" spans="1:12" ht="18">
      <c r="A12" s="24">
        <v>38176</v>
      </c>
      <c r="B12" s="23">
        <v>1013</v>
      </c>
      <c r="C12" s="23" t="s">
        <v>31</v>
      </c>
      <c r="D12" s="194"/>
      <c r="E12" s="23" t="s">
        <v>30</v>
      </c>
      <c r="F12" s="23">
        <v>5015</v>
      </c>
      <c r="G12" s="23">
        <v>22</v>
      </c>
      <c r="H12" s="15"/>
    </row>
    <row r="13" spans="1:12" ht="18">
      <c r="A13" s="24">
        <v>38172</v>
      </c>
      <c r="B13" s="23">
        <v>1011</v>
      </c>
      <c r="C13" s="23" t="s">
        <v>24</v>
      </c>
      <c r="D13" s="194"/>
      <c r="E13" s="23" t="s">
        <v>30</v>
      </c>
      <c r="F13" s="23">
        <v>4200</v>
      </c>
      <c r="G13" s="23">
        <v>138</v>
      </c>
      <c r="H13" s="15"/>
    </row>
    <row r="14" spans="1:12" ht="18">
      <c r="A14" s="24">
        <v>38343</v>
      </c>
      <c r="B14" s="23">
        <v>1005</v>
      </c>
      <c r="C14" s="23" t="s">
        <v>23</v>
      </c>
      <c r="D14" s="194"/>
      <c r="E14" s="23" t="s">
        <v>30</v>
      </c>
      <c r="F14" s="23">
        <v>4386</v>
      </c>
      <c r="G14" s="23">
        <v>34</v>
      </c>
      <c r="H14" s="15"/>
    </row>
    <row r="15" spans="1:12" ht="18">
      <c r="A15" s="24">
        <v>38344</v>
      </c>
      <c r="B15" s="23">
        <v>1007</v>
      </c>
      <c r="C15" s="23" t="s">
        <v>10</v>
      </c>
      <c r="D15" s="194"/>
      <c r="E15" s="23" t="s">
        <v>30</v>
      </c>
      <c r="F15" s="23">
        <v>3848</v>
      </c>
      <c r="G15" s="23">
        <v>97</v>
      </c>
      <c r="H15" s="15"/>
    </row>
    <row r="16" spans="1:12" ht="18">
      <c r="A16" s="24">
        <v>38345</v>
      </c>
      <c r="B16" s="23">
        <v>1009</v>
      </c>
      <c r="C16" s="23" t="s">
        <v>19</v>
      </c>
      <c r="D16" s="194"/>
      <c r="E16" s="23" t="s">
        <v>30</v>
      </c>
      <c r="F16" s="23">
        <v>6389</v>
      </c>
      <c r="G16" s="23">
        <v>138</v>
      </c>
      <c r="H16" s="15"/>
    </row>
    <row r="17" spans="1:28" ht="18">
      <c r="A17" s="24">
        <v>38264</v>
      </c>
      <c r="B17" s="23">
        <v>1005</v>
      </c>
      <c r="C17" s="23" t="s">
        <v>23</v>
      </c>
      <c r="D17" s="194"/>
      <c r="E17" s="23" t="s">
        <v>28</v>
      </c>
      <c r="F17" s="23">
        <v>4149</v>
      </c>
      <c r="G17" s="23">
        <v>46</v>
      </c>
      <c r="H17" s="15"/>
    </row>
    <row r="18" spans="1:28" ht="18">
      <c r="A18" s="24">
        <v>38263</v>
      </c>
      <c r="B18" s="23">
        <v>1003</v>
      </c>
      <c r="C18" s="23" t="s">
        <v>22</v>
      </c>
      <c r="D18" s="194"/>
      <c r="E18" s="23" t="s">
        <v>28</v>
      </c>
      <c r="F18" s="23">
        <v>1444</v>
      </c>
      <c r="G18" s="23">
        <v>95</v>
      </c>
      <c r="H18" s="15"/>
    </row>
    <row r="19" spans="1:28" ht="18">
      <c r="A19" s="24">
        <v>38265</v>
      </c>
      <c r="B19" s="23">
        <v>1007</v>
      </c>
      <c r="C19" s="23" t="s">
        <v>10</v>
      </c>
      <c r="D19" s="194"/>
      <c r="E19" s="23" t="s">
        <v>28</v>
      </c>
      <c r="F19" s="23">
        <v>4818</v>
      </c>
      <c r="G19" s="23">
        <v>74</v>
      </c>
      <c r="H19" s="15"/>
      <c r="Z19" s="1" t="s">
        <v>29</v>
      </c>
      <c r="AB19" s="1" t="e">
        <f>SUM(Qty)</f>
        <v>#NAME?</v>
      </c>
    </row>
    <row r="20" spans="1:28" ht="18">
      <c r="A20" s="24">
        <v>38165</v>
      </c>
      <c r="B20" s="23">
        <v>1009</v>
      </c>
      <c r="C20" s="23" t="s">
        <v>19</v>
      </c>
      <c r="D20" s="194"/>
      <c r="E20" s="23" t="s">
        <v>28</v>
      </c>
      <c r="F20" s="23">
        <v>1138</v>
      </c>
      <c r="G20" s="23">
        <v>193</v>
      </c>
      <c r="H20" s="15"/>
    </row>
    <row r="21" spans="1:28" ht="18">
      <c r="A21" s="24">
        <v>38140</v>
      </c>
      <c r="B21" s="23">
        <v>1001</v>
      </c>
      <c r="C21" s="23" t="s">
        <v>12</v>
      </c>
      <c r="D21" s="194"/>
      <c r="E21" s="23" t="s">
        <v>28</v>
      </c>
      <c r="F21" s="23">
        <v>8756</v>
      </c>
      <c r="G21" s="23">
        <v>20</v>
      </c>
      <c r="H21" s="15"/>
    </row>
    <row r="22" spans="1:28" ht="18">
      <c r="A22" s="24">
        <v>38162</v>
      </c>
      <c r="B22" s="23">
        <v>1008</v>
      </c>
      <c r="C22" s="23" t="s">
        <v>11</v>
      </c>
      <c r="D22" s="194"/>
      <c r="E22" s="23" t="s">
        <v>27</v>
      </c>
      <c r="F22" s="23">
        <v>3977</v>
      </c>
      <c r="G22" s="23">
        <v>25</v>
      </c>
      <c r="H22" s="15"/>
    </row>
    <row r="23" spans="1:28" ht="18">
      <c r="A23" s="24">
        <v>38154</v>
      </c>
      <c r="B23" s="23">
        <v>1006</v>
      </c>
      <c r="C23" s="23" t="s">
        <v>9</v>
      </c>
      <c r="D23" s="194"/>
      <c r="E23" s="23" t="s">
        <v>27</v>
      </c>
      <c r="F23" s="23">
        <v>5580</v>
      </c>
      <c r="G23" s="23">
        <v>195</v>
      </c>
      <c r="H23" s="15"/>
    </row>
    <row r="24" spans="1:28" ht="18">
      <c r="A24" s="24">
        <v>38176</v>
      </c>
      <c r="B24" s="23">
        <v>1012</v>
      </c>
      <c r="C24" s="23" t="s">
        <v>18</v>
      </c>
      <c r="D24" s="194"/>
      <c r="E24" s="23" t="s">
        <v>27</v>
      </c>
      <c r="F24" s="23">
        <v>5506</v>
      </c>
      <c r="G24" s="23">
        <v>334</v>
      </c>
      <c r="H24" s="15"/>
    </row>
    <row r="25" spans="1:28" ht="18">
      <c r="A25" s="24">
        <v>38141</v>
      </c>
      <c r="B25" s="23">
        <v>1004</v>
      </c>
      <c r="C25" s="23" t="s">
        <v>13</v>
      </c>
      <c r="D25" s="194"/>
      <c r="E25" s="23" t="s">
        <v>27</v>
      </c>
      <c r="F25" s="23">
        <v>1491</v>
      </c>
      <c r="G25" s="23">
        <v>154</v>
      </c>
      <c r="H25" s="15"/>
    </row>
    <row r="26" spans="1:28" ht="18">
      <c r="A26" s="24">
        <v>38172</v>
      </c>
      <c r="B26" s="23">
        <v>1011</v>
      </c>
      <c r="C26" s="23" t="s">
        <v>24</v>
      </c>
      <c r="D26" s="194"/>
      <c r="E26" s="23" t="s">
        <v>27</v>
      </c>
      <c r="F26" s="23">
        <v>2291</v>
      </c>
      <c r="G26" s="23">
        <v>197</v>
      </c>
      <c r="H26" s="15"/>
    </row>
    <row r="27" spans="1:28">
      <c r="D27" s="1"/>
      <c r="H27" s="15"/>
    </row>
    <row r="28" spans="1:28">
      <c r="D28" s="1"/>
    </row>
    <row r="29" spans="1:28">
      <c r="D29" s="1"/>
    </row>
    <row r="30" spans="1:28">
      <c r="D30" s="1"/>
    </row>
    <row r="31" spans="1:28">
      <c r="D31" s="1"/>
    </row>
    <row r="32" spans="1:28">
      <c r="C32" s="22"/>
      <c r="D32" s="1"/>
    </row>
    <row r="33" spans="3:4">
      <c r="C33" s="22"/>
      <c r="D33" s="1"/>
    </row>
    <row r="34" spans="3:4">
      <c r="C34" s="22"/>
      <c r="D34" s="1"/>
    </row>
    <row r="35" spans="3:4">
      <c r="C35" s="22"/>
      <c r="D35" s="1"/>
    </row>
    <row r="36" spans="3:4">
      <c r="C36" s="22"/>
      <c r="D36" s="1"/>
    </row>
    <row r="37" spans="3:4">
      <c r="D37" s="1"/>
    </row>
    <row r="38" spans="3:4">
      <c r="D38" s="1"/>
    </row>
    <row r="39" spans="3:4">
      <c r="D39" s="1"/>
    </row>
    <row r="40" spans="3:4">
      <c r="D40" s="1"/>
    </row>
    <row r="41" spans="3:4">
      <c r="D41" s="1"/>
    </row>
    <row r="42" spans="3:4">
      <c r="D42" s="1"/>
    </row>
    <row r="43" spans="3:4">
      <c r="D43" s="1"/>
    </row>
    <row r="44" spans="3:4">
      <c r="D44" s="1"/>
    </row>
    <row r="45" spans="3:4">
      <c r="D45" s="1"/>
    </row>
    <row r="46" spans="3:4">
      <c r="D46" s="1"/>
    </row>
    <row r="47" spans="3:4">
      <c r="D47" s="1"/>
    </row>
    <row r="48" spans="3:4">
      <c r="D48" s="1"/>
    </row>
    <row r="49" spans="4:4">
      <c r="D49" s="1"/>
    </row>
    <row r="50" spans="4:4">
      <c r="D50" s="1"/>
    </row>
    <row r="51" spans="4:4">
      <c r="D51" s="1"/>
    </row>
    <row r="52" spans="4:4">
      <c r="D52" s="1"/>
    </row>
    <row r="53" spans="4:4">
      <c r="D53" s="1"/>
    </row>
    <row r="54" spans="4:4">
      <c r="D54" s="1"/>
    </row>
    <row r="55" spans="4:4">
      <c r="D55" s="1"/>
    </row>
    <row r="56" spans="4:4">
      <c r="D56" s="1"/>
    </row>
    <row r="57" spans="4:4">
      <c r="D57" s="1"/>
    </row>
    <row r="58" spans="4:4">
      <c r="D58" s="1"/>
    </row>
    <row r="59" spans="4:4">
      <c r="D59" s="1"/>
    </row>
    <row r="60" spans="4:4">
      <c r="D60" s="1"/>
    </row>
    <row r="61" spans="4:4">
      <c r="D61" s="1"/>
    </row>
    <row r="62" spans="4:4">
      <c r="D62" s="1"/>
    </row>
    <row r="63" spans="4:4">
      <c r="D63" s="1"/>
    </row>
    <row r="64" spans="4:4">
      <c r="D64" s="1"/>
    </row>
    <row r="65" spans="4:4">
      <c r="D65" s="1"/>
    </row>
    <row r="66" spans="4:4">
      <c r="D66" s="1"/>
    </row>
    <row r="67" spans="4:4">
      <c r="D67" s="1"/>
    </row>
    <row r="68" spans="4:4">
      <c r="D68" s="1"/>
    </row>
    <row r="69" spans="4:4">
      <c r="D69" s="1"/>
    </row>
    <row r="70" spans="4:4">
      <c r="D70" s="1"/>
    </row>
    <row r="71" spans="4:4">
      <c r="D71" s="1"/>
    </row>
    <row r="72" spans="4:4">
      <c r="D72" s="1"/>
    </row>
    <row r="73" spans="4:4">
      <c r="D73" s="1"/>
    </row>
    <row r="74" spans="4:4">
      <c r="D74" s="1"/>
    </row>
    <row r="75" spans="4:4">
      <c r="D75" s="1"/>
    </row>
    <row r="76" spans="4:4">
      <c r="D76" s="1"/>
    </row>
    <row r="77" spans="4:4">
      <c r="D77" s="1"/>
    </row>
    <row r="78" spans="4:4">
      <c r="D78" s="1"/>
    </row>
    <row r="79" spans="4:4">
      <c r="D79" s="1"/>
    </row>
    <row r="80" spans="4:4">
      <c r="D80" s="1"/>
    </row>
    <row r="81" spans="4:4">
      <c r="D81" s="1"/>
    </row>
    <row r="82" spans="4:4">
      <c r="D82" s="1"/>
    </row>
    <row r="83" spans="4:4">
      <c r="D83" s="1"/>
    </row>
    <row r="84" spans="4:4">
      <c r="D84" s="1"/>
    </row>
    <row r="85" spans="4:4">
      <c r="D85" s="1"/>
    </row>
    <row r="86" spans="4:4">
      <c r="D86" s="1"/>
    </row>
    <row r="87" spans="4:4">
      <c r="D87" s="1"/>
    </row>
    <row r="88" spans="4:4">
      <c r="D88" s="1"/>
    </row>
    <row r="89" spans="4:4">
      <c r="D89" s="1"/>
    </row>
    <row r="90" spans="4:4">
      <c r="D90" s="1"/>
    </row>
    <row r="91" spans="4:4">
      <c r="D91" s="1"/>
    </row>
    <row r="92" spans="4:4">
      <c r="D92" s="1"/>
    </row>
    <row r="93" spans="4:4">
      <c r="D93" s="1"/>
    </row>
    <row r="94" spans="4:4">
      <c r="D94" s="1"/>
    </row>
    <row r="95" spans="4:4">
      <c r="D95" s="1"/>
    </row>
    <row r="96" spans="4:4">
      <c r="D96" s="1"/>
    </row>
    <row r="97" spans="4:4">
      <c r="D97" s="1"/>
    </row>
    <row r="98" spans="4:4">
      <c r="D98" s="1"/>
    </row>
    <row r="99" spans="4:4">
      <c r="D99" s="1"/>
    </row>
    <row r="100" spans="4:4">
      <c r="D100" s="1"/>
    </row>
    <row r="101" spans="4:4">
      <c r="D101" s="1"/>
    </row>
    <row r="102" spans="4:4">
      <c r="D102" s="1"/>
    </row>
    <row r="103" spans="4:4">
      <c r="D103" s="1"/>
    </row>
    <row r="104" spans="4:4">
      <c r="D104" s="1"/>
    </row>
    <row r="105" spans="4:4">
      <c r="D105" s="1"/>
    </row>
    <row r="106" spans="4:4">
      <c r="D106" s="1"/>
    </row>
    <row r="107" spans="4:4">
      <c r="D107" s="1"/>
    </row>
    <row r="108" spans="4:4">
      <c r="D108" s="1"/>
    </row>
    <row r="109" spans="4:4">
      <c r="D109" s="1"/>
    </row>
    <row r="110" spans="4:4">
      <c r="D110" s="1"/>
    </row>
    <row r="111" spans="4:4">
      <c r="D111" s="1"/>
    </row>
    <row r="112" spans="4:4">
      <c r="D112" s="1"/>
    </row>
    <row r="113" spans="4:4">
      <c r="D113" s="1"/>
    </row>
    <row r="114" spans="4:4">
      <c r="D114" s="1"/>
    </row>
    <row r="115" spans="4:4">
      <c r="D115" s="1"/>
    </row>
    <row r="116" spans="4:4">
      <c r="D116" s="1"/>
    </row>
    <row r="117" spans="4:4">
      <c r="D117" s="1"/>
    </row>
    <row r="118" spans="4:4">
      <c r="D118" s="1"/>
    </row>
    <row r="119" spans="4:4">
      <c r="D119" s="1"/>
    </row>
    <row r="120" spans="4:4">
      <c r="D120" s="1"/>
    </row>
    <row r="121" spans="4:4">
      <c r="D121" s="1"/>
    </row>
    <row r="122" spans="4:4">
      <c r="D122" s="1"/>
    </row>
    <row r="123" spans="4:4">
      <c r="D123" s="1"/>
    </row>
    <row r="124" spans="4:4">
      <c r="D124" s="1"/>
    </row>
    <row r="125" spans="4:4">
      <c r="D125" s="1"/>
    </row>
    <row r="126" spans="4:4">
      <c r="D126" s="1"/>
    </row>
    <row r="127" spans="4:4">
      <c r="D127" s="1"/>
    </row>
    <row r="128" spans="4:4">
      <c r="D128" s="1"/>
    </row>
    <row r="129" spans="4:4">
      <c r="D129" s="1"/>
    </row>
    <row r="130" spans="4:4">
      <c r="D130" s="1"/>
    </row>
    <row r="131" spans="4:4">
      <c r="D131" s="1"/>
    </row>
    <row r="132" spans="4:4">
      <c r="D132" s="1"/>
    </row>
    <row r="133" spans="4:4">
      <c r="D133" s="1"/>
    </row>
    <row r="134" spans="4:4">
      <c r="D134" s="1"/>
    </row>
    <row r="135" spans="4:4">
      <c r="D135" s="1"/>
    </row>
    <row r="136" spans="4:4">
      <c r="D136" s="1"/>
    </row>
    <row r="137" spans="4:4">
      <c r="D137" s="1"/>
    </row>
    <row r="138" spans="4:4">
      <c r="D138" s="1"/>
    </row>
    <row r="139" spans="4:4">
      <c r="D139" s="1"/>
    </row>
    <row r="140" spans="4:4">
      <c r="D140" s="1"/>
    </row>
    <row r="141" spans="4:4">
      <c r="D141" s="1"/>
    </row>
    <row r="142" spans="4:4">
      <c r="D142" s="1"/>
    </row>
    <row r="143" spans="4:4">
      <c r="D143" s="1"/>
    </row>
    <row r="144" spans="4:4">
      <c r="D144" s="1"/>
    </row>
    <row r="145" spans="4:4">
      <c r="D145" s="1"/>
    </row>
    <row r="146" spans="4:4">
      <c r="D146" s="1"/>
    </row>
    <row r="147" spans="4:4">
      <c r="D147" s="1"/>
    </row>
    <row r="148" spans="4:4">
      <c r="D148" s="1"/>
    </row>
    <row r="149" spans="4:4">
      <c r="D149" s="1"/>
    </row>
    <row r="150" spans="4:4">
      <c r="D150" s="1"/>
    </row>
    <row r="151" spans="4:4">
      <c r="D151" s="1"/>
    </row>
    <row r="152" spans="4:4">
      <c r="D152" s="1"/>
    </row>
    <row r="153" spans="4:4">
      <c r="D153" s="1"/>
    </row>
    <row r="154" spans="4:4">
      <c r="D154" s="1"/>
    </row>
    <row r="155" spans="4:4">
      <c r="D155" s="1"/>
    </row>
    <row r="156" spans="4:4">
      <c r="D156" s="1"/>
    </row>
    <row r="157" spans="4:4">
      <c r="D157" s="1"/>
    </row>
    <row r="158" spans="4:4">
      <c r="D158" s="1"/>
    </row>
    <row r="159" spans="4:4">
      <c r="D159" s="1"/>
    </row>
    <row r="160" spans="4:4">
      <c r="D160" s="1"/>
    </row>
    <row r="161" spans="4:4">
      <c r="D161" s="1"/>
    </row>
    <row r="162" spans="4:4">
      <c r="D162" s="1"/>
    </row>
    <row r="163" spans="4:4">
      <c r="D163" s="1"/>
    </row>
    <row r="164" spans="4:4">
      <c r="D164" s="1"/>
    </row>
    <row r="165" spans="4:4">
      <c r="D165" s="1"/>
    </row>
    <row r="166" spans="4:4">
      <c r="D166" s="1"/>
    </row>
    <row r="167" spans="4:4">
      <c r="D167" s="1"/>
    </row>
    <row r="168" spans="4:4">
      <c r="D168" s="1"/>
    </row>
    <row r="169" spans="4:4">
      <c r="D169" s="1"/>
    </row>
    <row r="170" spans="4:4">
      <c r="D170" s="1"/>
    </row>
    <row r="171" spans="4:4">
      <c r="D171" s="1"/>
    </row>
    <row r="172" spans="4:4">
      <c r="D172" s="1"/>
    </row>
    <row r="173" spans="4:4">
      <c r="D173" s="1"/>
    </row>
    <row r="174" spans="4:4">
      <c r="D174" s="1"/>
    </row>
    <row r="175" spans="4:4">
      <c r="D175" s="1"/>
    </row>
    <row r="176" spans="4:4">
      <c r="D176" s="1"/>
    </row>
    <row r="177" spans="4:4">
      <c r="D177" s="1"/>
    </row>
    <row r="178" spans="4:4">
      <c r="D178" s="1"/>
    </row>
    <row r="179" spans="4:4">
      <c r="D179" s="1"/>
    </row>
    <row r="180" spans="4:4">
      <c r="D180" s="1"/>
    </row>
    <row r="181" spans="4:4">
      <c r="D181" s="1"/>
    </row>
    <row r="182" spans="4:4">
      <c r="D182" s="1"/>
    </row>
    <row r="183" spans="4:4">
      <c r="D183" s="1"/>
    </row>
    <row r="184" spans="4:4">
      <c r="D184" s="1"/>
    </row>
    <row r="185" spans="4:4">
      <c r="D185" s="1"/>
    </row>
    <row r="186" spans="4:4">
      <c r="D186" s="1"/>
    </row>
    <row r="187" spans="4:4">
      <c r="D187" s="1"/>
    </row>
    <row r="188" spans="4:4">
      <c r="D188" s="1"/>
    </row>
    <row r="189" spans="4:4">
      <c r="D189" s="1"/>
    </row>
    <row r="190" spans="4:4">
      <c r="D190" s="1"/>
    </row>
    <row r="191" spans="4:4">
      <c r="D191" s="1"/>
    </row>
    <row r="192" spans="4:4">
      <c r="D192" s="1"/>
    </row>
    <row r="193" spans="4:4">
      <c r="D193" s="1"/>
    </row>
    <row r="194" spans="4:4">
      <c r="D194" s="1"/>
    </row>
    <row r="195" spans="4:4">
      <c r="D195" s="1"/>
    </row>
    <row r="196" spans="4:4">
      <c r="D196" s="1"/>
    </row>
    <row r="197" spans="4:4">
      <c r="D197" s="1"/>
    </row>
    <row r="198" spans="4:4">
      <c r="D198" s="1"/>
    </row>
    <row r="199" spans="4:4">
      <c r="D199" s="1"/>
    </row>
    <row r="200" spans="4:4">
      <c r="D200" s="1"/>
    </row>
    <row r="201" spans="4:4">
      <c r="D201" s="1"/>
    </row>
    <row r="202" spans="4:4">
      <c r="D202" s="1"/>
    </row>
    <row r="203" spans="4:4">
      <c r="D203" s="1"/>
    </row>
    <row r="204" spans="4:4">
      <c r="D204" s="1"/>
    </row>
    <row r="205" spans="4:4">
      <c r="D205" s="1"/>
    </row>
    <row r="206" spans="4:4">
      <c r="D206" s="1"/>
    </row>
    <row r="207" spans="4:4">
      <c r="D207" s="1"/>
    </row>
    <row r="208" spans="4:4">
      <c r="D208" s="1"/>
    </row>
    <row r="209" spans="4:4">
      <c r="D209" s="1"/>
    </row>
    <row r="210" spans="4:4">
      <c r="D210" s="1"/>
    </row>
    <row r="211" spans="4:4">
      <c r="D211" s="1"/>
    </row>
    <row r="212" spans="4:4">
      <c r="D212" s="1"/>
    </row>
    <row r="213" spans="4:4">
      <c r="D213" s="1"/>
    </row>
    <row r="214" spans="4:4">
      <c r="D214" s="1"/>
    </row>
    <row r="215" spans="4:4">
      <c r="D215" s="1"/>
    </row>
    <row r="216" spans="4:4">
      <c r="D216" s="1"/>
    </row>
    <row r="217" spans="4:4">
      <c r="D217" s="1"/>
    </row>
    <row r="218" spans="4:4">
      <c r="D218" s="1"/>
    </row>
    <row r="219" spans="4:4">
      <c r="D219" s="1"/>
    </row>
    <row r="220" spans="4:4">
      <c r="D220" s="1"/>
    </row>
    <row r="221" spans="4:4">
      <c r="D221" s="1"/>
    </row>
    <row r="222" spans="4:4">
      <c r="D222" s="1"/>
    </row>
    <row r="223" spans="4:4">
      <c r="D223" s="1"/>
    </row>
    <row r="224" spans="4:4">
      <c r="D224" s="1"/>
    </row>
    <row r="225" spans="4:4">
      <c r="D225" s="1"/>
    </row>
    <row r="226" spans="4:4">
      <c r="D226" s="1"/>
    </row>
    <row r="227" spans="4:4">
      <c r="D227" s="1"/>
    </row>
    <row r="228" spans="4:4">
      <c r="D228" s="1"/>
    </row>
    <row r="229" spans="4:4">
      <c r="D229" s="1"/>
    </row>
    <row r="230" spans="4:4">
      <c r="D230" s="1"/>
    </row>
    <row r="231" spans="4:4">
      <c r="D231" s="1"/>
    </row>
    <row r="232" spans="4:4">
      <c r="D232" s="1"/>
    </row>
    <row r="233" spans="4:4">
      <c r="D233" s="1"/>
    </row>
    <row r="234" spans="4:4">
      <c r="D234" s="1"/>
    </row>
    <row r="235" spans="4:4">
      <c r="D235" s="1"/>
    </row>
    <row r="236" spans="4:4">
      <c r="D236" s="1"/>
    </row>
    <row r="237" spans="4:4">
      <c r="D237" s="1"/>
    </row>
    <row r="238" spans="4:4">
      <c r="D238" s="1"/>
    </row>
    <row r="239" spans="4:4">
      <c r="D239" s="1"/>
    </row>
    <row r="240" spans="4:4">
      <c r="D240" s="1"/>
    </row>
    <row r="241" spans="4:4">
      <c r="D241" s="1"/>
    </row>
    <row r="242" spans="4:4">
      <c r="D242" s="1"/>
    </row>
    <row r="243" spans="4:4">
      <c r="D243" s="1"/>
    </row>
    <row r="244" spans="4:4">
      <c r="D244" s="1"/>
    </row>
    <row r="245" spans="4:4">
      <c r="D245" s="1"/>
    </row>
    <row r="246" spans="4:4">
      <c r="D246" s="1"/>
    </row>
    <row r="247" spans="4:4">
      <c r="D247" s="1"/>
    </row>
    <row r="248" spans="4:4">
      <c r="D248" s="1"/>
    </row>
    <row r="249" spans="4:4">
      <c r="D249" s="1"/>
    </row>
    <row r="250" spans="4:4">
      <c r="D250" s="1"/>
    </row>
    <row r="251" spans="4:4">
      <c r="D251" s="1"/>
    </row>
    <row r="252" spans="4:4">
      <c r="D252" s="1"/>
    </row>
    <row r="253" spans="4:4">
      <c r="D253" s="1"/>
    </row>
    <row r="254" spans="4:4">
      <c r="D254" s="1"/>
    </row>
    <row r="255" spans="4:4">
      <c r="D255" s="1"/>
    </row>
    <row r="256" spans="4:4">
      <c r="D256" s="1"/>
    </row>
    <row r="257" spans="4:4">
      <c r="D257" s="1"/>
    </row>
    <row r="258" spans="4:4">
      <c r="D258" s="1"/>
    </row>
    <row r="259" spans="4:4">
      <c r="D259" s="1"/>
    </row>
    <row r="260" spans="4:4">
      <c r="D260" s="1"/>
    </row>
    <row r="261" spans="4:4">
      <c r="D261" s="1"/>
    </row>
    <row r="262" spans="4:4">
      <c r="D262" s="1"/>
    </row>
    <row r="263" spans="4:4">
      <c r="D263" s="1"/>
    </row>
    <row r="264" spans="4:4">
      <c r="D264" s="1"/>
    </row>
    <row r="265" spans="4:4">
      <c r="D265" s="1"/>
    </row>
    <row r="266" spans="4:4">
      <c r="D266" s="1"/>
    </row>
    <row r="267" spans="4:4">
      <c r="D267" s="1"/>
    </row>
    <row r="268" spans="4:4">
      <c r="D268" s="1"/>
    </row>
    <row r="269" spans="4:4">
      <c r="D269" s="1"/>
    </row>
    <row r="270" spans="4:4">
      <c r="D270" s="1"/>
    </row>
    <row r="271" spans="4:4">
      <c r="D271" s="1"/>
    </row>
    <row r="272" spans="4:4">
      <c r="D272" s="1"/>
    </row>
    <row r="273" spans="4:4">
      <c r="D273" s="1"/>
    </row>
    <row r="274" spans="4:4">
      <c r="D274" s="1"/>
    </row>
    <row r="275" spans="4:4">
      <c r="D275" s="1"/>
    </row>
    <row r="276" spans="4:4">
      <c r="D276" s="1"/>
    </row>
    <row r="277" spans="4:4">
      <c r="D277" s="1"/>
    </row>
    <row r="278" spans="4:4">
      <c r="D278" s="1"/>
    </row>
    <row r="279" spans="4:4">
      <c r="D279" s="1"/>
    </row>
    <row r="280" spans="4:4">
      <c r="D280" s="1"/>
    </row>
    <row r="281" spans="4:4">
      <c r="D281" s="1"/>
    </row>
    <row r="282" spans="4:4">
      <c r="D282" s="1"/>
    </row>
    <row r="283" spans="4:4">
      <c r="D283" s="1"/>
    </row>
    <row r="284" spans="4:4">
      <c r="D284" s="1"/>
    </row>
    <row r="285" spans="4:4">
      <c r="D285" s="1"/>
    </row>
    <row r="286" spans="4:4">
      <c r="D286" s="1"/>
    </row>
    <row r="287" spans="4:4">
      <c r="D287" s="1"/>
    </row>
    <row r="288" spans="4:4">
      <c r="D288" s="1"/>
    </row>
    <row r="289" spans="4:4">
      <c r="D289" s="1"/>
    </row>
    <row r="290" spans="4:4">
      <c r="D290" s="1"/>
    </row>
    <row r="291" spans="4:4">
      <c r="D291" s="1"/>
    </row>
    <row r="292" spans="4:4">
      <c r="D292" s="1"/>
    </row>
    <row r="293" spans="4:4">
      <c r="D293" s="1"/>
    </row>
    <row r="294" spans="4:4">
      <c r="D294" s="1"/>
    </row>
    <row r="295" spans="4:4">
      <c r="D295" s="1"/>
    </row>
    <row r="296" spans="4:4">
      <c r="D296" s="1"/>
    </row>
    <row r="297" spans="4:4">
      <c r="D297" s="1"/>
    </row>
    <row r="298" spans="4:4">
      <c r="D298" s="1"/>
    </row>
    <row r="299" spans="4:4">
      <c r="D299" s="1"/>
    </row>
    <row r="300" spans="4:4">
      <c r="D300" s="1"/>
    </row>
    <row r="301" spans="4:4">
      <c r="D301" s="1"/>
    </row>
    <row r="302" spans="4:4">
      <c r="D302" s="1"/>
    </row>
    <row r="303" spans="4:4">
      <c r="D303" s="1"/>
    </row>
    <row r="304" spans="4:4">
      <c r="D304" s="1"/>
    </row>
    <row r="305" spans="4:4">
      <c r="D305" s="1"/>
    </row>
    <row r="306" spans="4:4">
      <c r="D306" s="1"/>
    </row>
    <row r="307" spans="4:4">
      <c r="D307" s="1"/>
    </row>
    <row r="308" spans="4:4">
      <c r="D308" s="1"/>
    </row>
    <row r="309" spans="4:4">
      <c r="D309" s="1"/>
    </row>
    <row r="310" spans="4:4">
      <c r="D310" s="1"/>
    </row>
    <row r="311" spans="4:4">
      <c r="D311" s="1"/>
    </row>
    <row r="312" spans="4:4">
      <c r="D312" s="1"/>
    </row>
    <row r="313" spans="4:4">
      <c r="D313" s="1"/>
    </row>
    <row r="314" spans="4:4">
      <c r="D314" s="1"/>
    </row>
    <row r="315" spans="4:4">
      <c r="D315" s="1"/>
    </row>
    <row r="316" spans="4:4">
      <c r="D316" s="1"/>
    </row>
    <row r="317" spans="4:4">
      <c r="D317" s="1"/>
    </row>
    <row r="318" spans="4:4">
      <c r="D318" s="1"/>
    </row>
    <row r="319" spans="4:4">
      <c r="D319" s="1"/>
    </row>
    <row r="320" spans="4:4">
      <c r="D320" s="1"/>
    </row>
    <row r="321" spans="4:4">
      <c r="D321" s="1"/>
    </row>
    <row r="322" spans="4:4">
      <c r="D322" s="1"/>
    </row>
    <row r="323" spans="4:4">
      <c r="D323" s="1"/>
    </row>
    <row r="324" spans="4:4">
      <c r="D324" s="1"/>
    </row>
    <row r="325" spans="4:4">
      <c r="D325" s="1"/>
    </row>
    <row r="326" spans="4:4">
      <c r="D326" s="1"/>
    </row>
    <row r="327" spans="4:4">
      <c r="D327" s="1"/>
    </row>
    <row r="328" spans="4:4">
      <c r="D328" s="1"/>
    </row>
    <row r="329" spans="4:4">
      <c r="D329" s="1"/>
    </row>
    <row r="330" spans="4:4">
      <c r="D330" s="1"/>
    </row>
    <row r="331" spans="4:4">
      <c r="D331" s="1"/>
    </row>
    <row r="332" spans="4:4">
      <c r="D332" s="1"/>
    </row>
    <row r="333" spans="4:4">
      <c r="D333" s="1"/>
    </row>
    <row r="334" spans="4:4">
      <c r="D334" s="1"/>
    </row>
    <row r="335" spans="4:4">
      <c r="D335" s="1"/>
    </row>
    <row r="336" spans="4:4">
      <c r="D336" s="1"/>
    </row>
    <row r="337" spans="4:4">
      <c r="D337" s="1"/>
    </row>
    <row r="338" spans="4:4">
      <c r="D338" s="1"/>
    </row>
    <row r="339" spans="4:4">
      <c r="D339" s="1"/>
    </row>
    <row r="340" spans="4:4">
      <c r="D340" s="1"/>
    </row>
    <row r="341" spans="4:4">
      <c r="D341" s="1"/>
    </row>
    <row r="342" spans="4:4">
      <c r="D342" s="1"/>
    </row>
    <row r="343" spans="4:4">
      <c r="D343" s="1"/>
    </row>
    <row r="344" spans="4:4">
      <c r="D344" s="1"/>
    </row>
    <row r="345" spans="4:4">
      <c r="D345" s="1"/>
    </row>
    <row r="346" spans="4:4">
      <c r="D346" s="1"/>
    </row>
    <row r="347" spans="4:4">
      <c r="D347" s="1"/>
    </row>
    <row r="348" spans="4:4">
      <c r="D348" s="1"/>
    </row>
    <row r="349" spans="4:4">
      <c r="D349" s="1"/>
    </row>
    <row r="350" spans="4:4">
      <c r="D350" s="1"/>
    </row>
    <row r="351" spans="4:4">
      <c r="D351" s="1"/>
    </row>
    <row r="352" spans="4:4">
      <c r="D352" s="1"/>
    </row>
    <row r="353" spans="4:4">
      <c r="D353" s="1"/>
    </row>
    <row r="354" spans="4:4">
      <c r="D354" s="1"/>
    </row>
    <row r="355" spans="4:4">
      <c r="D355" s="1"/>
    </row>
    <row r="356" spans="4:4">
      <c r="D356" s="1"/>
    </row>
    <row r="357" spans="4:4">
      <c r="D357" s="1"/>
    </row>
    <row r="358" spans="4:4">
      <c r="D358" s="1"/>
    </row>
    <row r="359" spans="4:4">
      <c r="D359" s="1"/>
    </row>
    <row r="360" spans="4:4">
      <c r="D360" s="1"/>
    </row>
    <row r="361" spans="4:4">
      <c r="D361" s="1"/>
    </row>
    <row r="362" spans="4:4">
      <c r="D362" s="1"/>
    </row>
    <row r="363" spans="4:4">
      <c r="D363" s="1"/>
    </row>
    <row r="364" spans="4:4">
      <c r="D364" s="1"/>
    </row>
    <row r="365" spans="4:4">
      <c r="D365" s="1"/>
    </row>
    <row r="366" spans="4:4">
      <c r="D366" s="1"/>
    </row>
    <row r="367" spans="4:4">
      <c r="D367" s="1"/>
    </row>
    <row r="368" spans="4:4">
      <c r="D368" s="1"/>
    </row>
    <row r="369" spans="4:4">
      <c r="D369" s="1"/>
    </row>
    <row r="370" spans="4:4">
      <c r="D370" s="1"/>
    </row>
    <row r="371" spans="4:4">
      <c r="D371" s="1"/>
    </row>
    <row r="372" spans="4:4">
      <c r="D372" s="1"/>
    </row>
    <row r="373" spans="4:4">
      <c r="D373" s="1"/>
    </row>
    <row r="374" spans="4:4">
      <c r="D374" s="1"/>
    </row>
    <row r="375" spans="4:4">
      <c r="D375" s="1"/>
    </row>
    <row r="376" spans="4:4">
      <c r="D376" s="1"/>
    </row>
    <row r="377" spans="4:4">
      <c r="D377" s="1"/>
    </row>
    <row r="378" spans="4:4">
      <c r="D378" s="1"/>
    </row>
    <row r="379" spans="4:4">
      <c r="D379" s="1"/>
    </row>
    <row r="380" spans="4:4">
      <c r="D380" s="1"/>
    </row>
    <row r="381" spans="4:4">
      <c r="D381" s="1"/>
    </row>
    <row r="382" spans="4:4">
      <c r="D382" s="1"/>
    </row>
    <row r="383" spans="4:4">
      <c r="D383" s="1"/>
    </row>
    <row r="384" spans="4:4">
      <c r="D384" s="1"/>
    </row>
    <row r="385" spans="4:4">
      <c r="D385" s="1"/>
    </row>
    <row r="386" spans="4:4">
      <c r="D386" s="1"/>
    </row>
    <row r="387" spans="4:4">
      <c r="D387" s="1"/>
    </row>
    <row r="388" spans="4:4">
      <c r="D388" s="1"/>
    </row>
    <row r="389" spans="4:4">
      <c r="D389" s="1"/>
    </row>
    <row r="390" spans="4:4">
      <c r="D390" s="1"/>
    </row>
    <row r="391" spans="4:4">
      <c r="D391" s="1"/>
    </row>
    <row r="392" spans="4:4">
      <c r="D392" s="1"/>
    </row>
    <row r="393" spans="4:4">
      <c r="D393" s="1"/>
    </row>
    <row r="394" spans="4:4">
      <c r="D394" s="1"/>
    </row>
    <row r="395" spans="4:4">
      <c r="D395" s="1"/>
    </row>
    <row r="396" spans="4:4">
      <c r="D396" s="1"/>
    </row>
    <row r="397" spans="4:4">
      <c r="D397" s="1"/>
    </row>
    <row r="398" spans="4:4">
      <c r="D398" s="1"/>
    </row>
    <row r="399" spans="4:4">
      <c r="D399" s="1"/>
    </row>
    <row r="400" spans="4:4">
      <c r="D400" s="1"/>
    </row>
    <row r="401" spans="4:4">
      <c r="D401" s="1"/>
    </row>
    <row r="402" spans="4:4">
      <c r="D402" s="1"/>
    </row>
    <row r="403" spans="4:4">
      <c r="D403" s="1"/>
    </row>
    <row r="404" spans="4:4">
      <c r="D404" s="1"/>
    </row>
    <row r="405" spans="4:4">
      <c r="D405" s="1"/>
    </row>
    <row r="406" spans="4:4">
      <c r="D406" s="1"/>
    </row>
    <row r="407" spans="4:4">
      <c r="D407" s="1"/>
    </row>
    <row r="408" spans="4:4">
      <c r="D408" s="1"/>
    </row>
    <row r="409" spans="4:4">
      <c r="D409" s="1"/>
    </row>
    <row r="410" spans="4:4">
      <c r="D410" s="1"/>
    </row>
    <row r="411" spans="4:4">
      <c r="D411" s="1"/>
    </row>
    <row r="412" spans="4:4">
      <c r="D412" s="1"/>
    </row>
    <row r="413" spans="4:4">
      <c r="D413" s="1"/>
    </row>
    <row r="414" spans="4:4">
      <c r="D414" s="1"/>
    </row>
    <row r="415" spans="4:4">
      <c r="D415" s="1"/>
    </row>
    <row r="416" spans="4:4">
      <c r="D416" s="1"/>
    </row>
    <row r="417" spans="4:4">
      <c r="D417" s="1"/>
    </row>
    <row r="418" spans="4:4">
      <c r="D418" s="1"/>
    </row>
    <row r="419" spans="4:4">
      <c r="D419" s="1"/>
    </row>
    <row r="420" spans="4:4">
      <c r="D420" s="1"/>
    </row>
    <row r="421" spans="4:4">
      <c r="D421" s="1"/>
    </row>
    <row r="422" spans="4:4">
      <c r="D422" s="1"/>
    </row>
    <row r="423" spans="4:4">
      <c r="D423" s="1"/>
    </row>
    <row r="424" spans="4:4">
      <c r="D424" s="1"/>
    </row>
    <row r="425" spans="4:4">
      <c r="D425" s="1"/>
    </row>
    <row r="426" spans="4:4">
      <c r="D426" s="1"/>
    </row>
    <row r="427" spans="4:4">
      <c r="D427" s="1"/>
    </row>
    <row r="428" spans="4:4">
      <c r="D428" s="1"/>
    </row>
    <row r="429" spans="4:4">
      <c r="D429" s="1"/>
    </row>
    <row r="430" spans="4:4">
      <c r="D430" s="1"/>
    </row>
    <row r="431" spans="4:4">
      <c r="D431" s="1"/>
    </row>
    <row r="432" spans="4:4">
      <c r="D432" s="1"/>
    </row>
    <row r="433" spans="4:4">
      <c r="D433" s="1"/>
    </row>
    <row r="434" spans="4:4">
      <c r="D434" s="1"/>
    </row>
    <row r="435" spans="4:4">
      <c r="D435" s="1"/>
    </row>
    <row r="436" spans="4:4">
      <c r="D436" s="1"/>
    </row>
    <row r="437" spans="4:4">
      <c r="D437" s="1"/>
    </row>
    <row r="438" spans="4:4">
      <c r="D438" s="1"/>
    </row>
    <row r="439" spans="4:4">
      <c r="D439" s="1"/>
    </row>
    <row r="440" spans="4:4">
      <c r="D440" s="1"/>
    </row>
    <row r="441" spans="4:4">
      <c r="D441" s="1"/>
    </row>
    <row r="442" spans="4:4">
      <c r="D442" s="1"/>
    </row>
    <row r="443" spans="4:4">
      <c r="D443" s="1"/>
    </row>
    <row r="444" spans="4:4">
      <c r="D444" s="1"/>
    </row>
    <row r="445" spans="4:4">
      <c r="D445" s="1"/>
    </row>
    <row r="446" spans="4:4">
      <c r="D446" s="1"/>
    </row>
    <row r="447" spans="4:4">
      <c r="D447" s="1"/>
    </row>
    <row r="448" spans="4:4">
      <c r="D448" s="1"/>
    </row>
    <row r="449" spans="4:4">
      <c r="D449" s="1"/>
    </row>
    <row r="450" spans="4:4">
      <c r="D450" s="1"/>
    </row>
    <row r="451" spans="4:4">
      <c r="D451" s="1"/>
    </row>
    <row r="452" spans="4:4">
      <c r="D452" s="1"/>
    </row>
    <row r="453" spans="4:4">
      <c r="D453" s="1"/>
    </row>
    <row r="454" spans="4:4">
      <c r="D454" s="1"/>
    </row>
    <row r="455" spans="4:4">
      <c r="D455" s="1"/>
    </row>
    <row r="456" spans="4:4">
      <c r="D456" s="1"/>
    </row>
    <row r="457" spans="4:4">
      <c r="D457" s="1"/>
    </row>
    <row r="458" spans="4:4">
      <c r="D458" s="1"/>
    </row>
    <row r="459" spans="4:4">
      <c r="D459" s="1"/>
    </row>
    <row r="460" spans="4:4">
      <c r="D460" s="1"/>
    </row>
    <row r="461" spans="4:4">
      <c r="D461" s="1"/>
    </row>
    <row r="462" spans="4:4">
      <c r="D462" s="1"/>
    </row>
    <row r="463" spans="4:4">
      <c r="D463" s="1"/>
    </row>
    <row r="464" spans="4:4">
      <c r="D464" s="1"/>
    </row>
    <row r="465" spans="4:4">
      <c r="D465" s="1"/>
    </row>
    <row r="466" spans="4:4">
      <c r="D466" s="1"/>
    </row>
    <row r="467" spans="4:4">
      <c r="D467" s="1"/>
    </row>
    <row r="468" spans="4:4">
      <c r="D468" s="1"/>
    </row>
    <row r="469" spans="4:4">
      <c r="D469" s="1"/>
    </row>
    <row r="470" spans="4:4">
      <c r="D470" s="1"/>
    </row>
    <row r="471" spans="4:4">
      <c r="D471" s="1"/>
    </row>
    <row r="472" spans="4:4">
      <c r="D472" s="1"/>
    </row>
    <row r="473" spans="4:4">
      <c r="D473" s="1"/>
    </row>
    <row r="474" spans="4:4">
      <c r="D474" s="1"/>
    </row>
    <row r="475" spans="4:4">
      <c r="D475" s="1"/>
    </row>
    <row r="476" spans="4:4">
      <c r="D476" s="1"/>
    </row>
    <row r="477" spans="4:4">
      <c r="D477" s="1"/>
    </row>
    <row r="478" spans="4:4">
      <c r="D478" s="1"/>
    </row>
    <row r="479" spans="4:4">
      <c r="D479" s="1"/>
    </row>
    <row r="480" spans="4:4">
      <c r="D480" s="1"/>
    </row>
    <row r="481" spans="4:4">
      <c r="D481" s="1"/>
    </row>
    <row r="482" spans="4:4">
      <c r="D482" s="1"/>
    </row>
    <row r="483" spans="4:4">
      <c r="D483" s="1"/>
    </row>
    <row r="484" spans="4:4">
      <c r="D484" s="1"/>
    </row>
    <row r="485" spans="4:4">
      <c r="D485" s="1"/>
    </row>
    <row r="486" spans="4:4">
      <c r="D486" s="1"/>
    </row>
    <row r="487" spans="4:4">
      <c r="D487" s="1"/>
    </row>
    <row r="488" spans="4:4">
      <c r="D488" s="1"/>
    </row>
    <row r="489" spans="4:4">
      <c r="D489" s="1"/>
    </row>
    <row r="490" spans="4:4">
      <c r="D490" s="1"/>
    </row>
    <row r="491" spans="4:4">
      <c r="D491" s="1"/>
    </row>
    <row r="492" spans="4:4">
      <c r="D492" s="1"/>
    </row>
    <row r="493" spans="4:4">
      <c r="D493" s="1"/>
    </row>
    <row r="494" spans="4:4">
      <c r="D494" s="1"/>
    </row>
    <row r="495" spans="4:4">
      <c r="D495" s="1"/>
    </row>
    <row r="496" spans="4:4">
      <c r="D496" s="1"/>
    </row>
    <row r="497" spans="4:4">
      <c r="D497" s="1"/>
    </row>
    <row r="498" spans="4:4">
      <c r="D498" s="1"/>
    </row>
    <row r="499" spans="4:4">
      <c r="D499" s="1"/>
    </row>
    <row r="500" spans="4:4">
      <c r="D500" s="1"/>
    </row>
    <row r="501" spans="4:4">
      <c r="D501" s="1"/>
    </row>
    <row r="502" spans="4:4">
      <c r="D502" s="1"/>
    </row>
    <row r="503" spans="4:4">
      <c r="D503" s="1"/>
    </row>
    <row r="504" spans="4:4">
      <c r="D504" s="1"/>
    </row>
    <row r="505" spans="4:4">
      <c r="D505" s="1"/>
    </row>
    <row r="506" spans="4:4">
      <c r="D506" s="1"/>
    </row>
    <row r="507" spans="4:4">
      <c r="D507" s="1"/>
    </row>
    <row r="508" spans="4:4">
      <c r="D508" s="1"/>
    </row>
    <row r="509" spans="4:4">
      <c r="D509" s="1"/>
    </row>
    <row r="510" spans="4:4">
      <c r="D510" s="1"/>
    </row>
    <row r="511" spans="4:4">
      <c r="D511" s="1"/>
    </row>
    <row r="512" spans="4:4">
      <c r="D512" s="1"/>
    </row>
    <row r="513" spans="4:4">
      <c r="D513" s="1"/>
    </row>
    <row r="514" spans="4:4">
      <c r="D514" s="1"/>
    </row>
    <row r="515" spans="4:4">
      <c r="D515" s="1"/>
    </row>
    <row r="516" spans="4:4">
      <c r="D516" s="1"/>
    </row>
    <row r="517" spans="4:4">
      <c r="D517" s="1"/>
    </row>
    <row r="518" spans="4:4">
      <c r="D518" s="1"/>
    </row>
    <row r="519" spans="4:4">
      <c r="D519" s="1"/>
    </row>
    <row r="520" spans="4:4">
      <c r="D520" s="1"/>
    </row>
    <row r="521" spans="4:4">
      <c r="D521" s="1"/>
    </row>
    <row r="522" spans="4:4">
      <c r="D522" s="1"/>
    </row>
    <row r="523" spans="4:4">
      <c r="D523" s="1"/>
    </row>
    <row r="524" spans="4:4">
      <c r="D524" s="1"/>
    </row>
    <row r="525" spans="4:4">
      <c r="D525" s="1"/>
    </row>
    <row r="526" spans="4:4">
      <c r="D526" s="1"/>
    </row>
    <row r="527" spans="4:4">
      <c r="D527" s="1"/>
    </row>
    <row r="528" spans="4:4">
      <c r="D528" s="1"/>
    </row>
    <row r="529" spans="4:4">
      <c r="D529" s="1"/>
    </row>
    <row r="530" spans="4:4">
      <c r="D530" s="1"/>
    </row>
    <row r="531" spans="4:4">
      <c r="D531" s="1"/>
    </row>
    <row r="532" spans="4:4">
      <c r="D532" s="1"/>
    </row>
    <row r="533" spans="4:4">
      <c r="D533" s="1"/>
    </row>
    <row r="534" spans="4:4">
      <c r="D534" s="1"/>
    </row>
    <row r="535" spans="4:4">
      <c r="D535" s="1"/>
    </row>
    <row r="536" spans="4:4">
      <c r="D536" s="1"/>
    </row>
    <row r="537" spans="4:4">
      <c r="D537" s="1"/>
    </row>
    <row r="538" spans="4:4">
      <c r="D538" s="1"/>
    </row>
    <row r="539" spans="4:4">
      <c r="D539" s="1"/>
    </row>
    <row r="540" spans="4:4">
      <c r="D540" s="1"/>
    </row>
    <row r="541" spans="4:4">
      <c r="D541" s="1"/>
    </row>
    <row r="542" spans="4:4">
      <c r="D542" s="1"/>
    </row>
    <row r="543" spans="4:4">
      <c r="D543" s="1"/>
    </row>
    <row r="544" spans="4:4">
      <c r="D544" s="1"/>
    </row>
    <row r="545" spans="4:4">
      <c r="D545" s="1"/>
    </row>
    <row r="546" spans="4:4">
      <c r="D546" s="1"/>
    </row>
    <row r="547" spans="4:4">
      <c r="D547" s="1"/>
    </row>
    <row r="548" spans="4:4">
      <c r="D548" s="1"/>
    </row>
    <row r="549" spans="4:4">
      <c r="D549" s="1"/>
    </row>
    <row r="550" spans="4:4">
      <c r="D550" s="1"/>
    </row>
    <row r="551" spans="4:4">
      <c r="D551" s="1"/>
    </row>
    <row r="552" spans="4:4">
      <c r="D552" s="1"/>
    </row>
    <row r="553" spans="4:4">
      <c r="D553" s="1"/>
    </row>
    <row r="554" spans="4:4">
      <c r="D554" s="1"/>
    </row>
    <row r="555" spans="4:4">
      <c r="D555" s="1"/>
    </row>
    <row r="556" spans="4:4">
      <c r="D556" s="1"/>
    </row>
    <row r="557" spans="4:4">
      <c r="D557" s="1"/>
    </row>
    <row r="558" spans="4:4">
      <c r="D558" s="1"/>
    </row>
    <row r="559" spans="4:4">
      <c r="D559" s="1"/>
    </row>
    <row r="560" spans="4:4">
      <c r="D560" s="1"/>
    </row>
    <row r="561" spans="4:4">
      <c r="D561" s="1"/>
    </row>
    <row r="562" spans="4:4">
      <c r="D562" s="1"/>
    </row>
    <row r="563" spans="4:4">
      <c r="D563" s="1"/>
    </row>
    <row r="564" spans="4:4">
      <c r="D564" s="1"/>
    </row>
    <row r="565" spans="4:4">
      <c r="D565" s="1"/>
    </row>
    <row r="566" spans="4:4">
      <c r="D566" s="1"/>
    </row>
    <row r="567" spans="4:4">
      <c r="D567" s="1"/>
    </row>
    <row r="568" spans="4:4">
      <c r="D568" s="1"/>
    </row>
    <row r="569" spans="4:4">
      <c r="D569" s="1"/>
    </row>
    <row r="570" spans="4:4">
      <c r="D570" s="1"/>
    </row>
    <row r="571" spans="4:4">
      <c r="D571" s="1"/>
    </row>
    <row r="572" spans="4:4">
      <c r="D572" s="1"/>
    </row>
    <row r="573" spans="4:4">
      <c r="D573" s="1"/>
    </row>
    <row r="574" spans="4:4">
      <c r="D574" s="1"/>
    </row>
    <row r="575" spans="4:4">
      <c r="D575" s="1"/>
    </row>
    <row r="576" spans="4:4">
      <c r="D576" s="1"/>
    </row>
    <row r="577" spans="4:4">
      <c r="D577" s="1"/>
    </row>
    <row r="578" spans="4:4">
      <c r="D578" s="1"/>
    </row>
    <row r="579" spans="4:4">
      <c r="D579" s="1"/>
    </row>
    <row r="580" spans="4:4">
      <c r="D580" s="1"/>
    </row>
    <row r="581" spans="4:4">
      <c r="D581" s="1"/>
    </row>
    <row r="582" spans="4:4">
      <c r="D582" s="1"/>
    </row>
    <row r="583" spans="4:4">
      <c r="D583" s="1"/>
    </row>
    <row r="584" spans="4:4">
      <c r="D584" s="1"/>
    </row>
    <row r="585" spans="4:4">
      <c r="D585" s="1"/>
    </row>
    <row r="586" spans="4:4">
      <c r="D586" s="1"/>
    </row>
    <row r="587" spans="4:4">
      <c r="D587" s="1"/>
    </row>
    <row r="588" spans="4:4">
      <c r="D588" s="1"/>
    </row>
    <row r="589" spans="4:4">
      <c r="D589" s="1"/>
    </row>
    <row r="590" spans="4:4">
      <c r="D590" s="1"/>
    </row>
    <row r="591" spans="4:4">
      <c r="D591" s="1"/>
    </row>
    <row r="592" spans="4:4">
      <c r="D592" s="1"/>
    </row>
    <row r="593" spans="4:4">
      <c r="D593" s="1"/>
    </row>
    <row r="594" spans="4:4">
      <c r="D594" s="1"/>
    </row>
    <row r="595" spans="4:4">
      <c r="D595" s="1"/>
    </row>
    <row r="596" spans="4:4">
      <c r="D596" s="1"/>
    </row>
    <row r="597" spans="4:4">
      <c r="D597" s="1"/>
    </row>
    <row r="598" spans="4:4">
      <c r="D598" s="1"/>
    </row>
    <row r="599" spans="4:4">
      <c r="D599" s="1"/>
    </row>
    <row r="600" spans="4:4">
      <c r="D600" s="1"/>
    </row>
    <row r="601" spans="4:4">
      <c r="D601" s="1"/>
    </row>
    <row r="602" spans="4:4">
      <c r="D602" s="1"/>
    </row>
    <row r="603" spans="4:4">
      <c r="D603" s="1"/>
    </row>
    <row r="604" spans="4:4">
      <c r="D604" s="1"/>
    </row>
    <row r="605" spans="4:4">
      <c r="D605" s="1"/>
    </row>
    <row r="606" spans="4:4">
      <c r="D606" s="1"/>
    </row>
    <row r="607" spans="4:4">
      <c r="D607" s="1"/>
    </row>
    <row r="608" spans="4:4">
      <c r="D608" s="1"/>
    </row>
    <row r="609" spans="4:4">
      <c r="D609" s="1"/>
    </row>
    <row r="610" spans="4:4">
      <c r="D610" s="1"/>
    </row>
    <row r="611" spans="4:4">
      <c r="D611" s="1"/>
    </row>
    <row r="612" spans="4:4">
      <c r="D612" s="1"/>
    </row>
    <row r="613" spans="4:4">
      <c r="D613" s="1"/>
    </row>
    <row r="614" spans="4:4">
      <c r="D614" s="1"/>
    </row>
    <row r="615" spans="4:4">
      <c r="D615" s="1"/>
    </row>
    <row r="616" spans="4:4">
      <c r="D616" s="1"/>
    </row>
    <row r="617" spans="4:4">
      <c r="D617" s="1"/>
    </row>
    <row r="618" spans="4:4">
      <c r="D618" s="1"/>
    </row>
    <row r="619" spans="4:4">
      <c r="D619" s="1"/>
    </row>
    <row r="620" spans="4:4">
      <c r="D620" s="1"/>
    </row>
    <row r="621" spans="4:4">
      <c r="D621" s="1"/>
    </row>
    <row r="622" spans="4:4">
      <c r="D622" s="1"/>
    </row>
    <row r="623" spans="4:4">
      <c r="D623" s="1"/>
    </row>
    <row r="624" spans="4:4">
      <c r="D624" s="1"/>
    </row>
    <row r="625" spans="4:4">
      <c r="D625" s="1"/>
    </row>
    <row r="626" spans="4:4">
      <c r="D626" s="1"/>
    </row>
    <row r="627" spans="4:4">
      <c r="D627" s="1"/>
    </row>
    <row r="628" spans="4:4">
      <c r="D628" s="1"/>
    </row>
    <row r="629" spans="4:4">
      <c r="D629" s="1"/>
    </row>
    <row r="630" spans="4:4">
      <c r="D630" s="1"/>
    </row>
    <row r="631" spans="4:4">
      <c r="D631" s="1"/>
    </row>
    <row r="632" spans="4:4">
      <c r="D632" s="1"/>
    </row>
    <row r="633" spans="4:4">
      <c r="D633" s="1"/>
    </row>
    <row r="634" spans="4:4">
      <c r="D634" s="1"/>
    </row>
    <row r="635" spans="4:4">
      <c r="D635" s="1"/>
    </row>
    <row r="636" spans="4:4">
      <c r="D636" s="1"/>
    </row>
    <row r="637" spans="4:4">
      <c r="D637" s="1"/>
    </row>
    <row r="638" spans="4:4">
      <c r="D638" s="1"/>
    </row>
    <row r="639" spans="4:4">
      <c r="D639" s="1"/>
    </row>
    <row r="640" spans="4:4">
      <c r="D640" s="1"/>
    </row>
    <row r="641" spans="4:4">
      <c r="D641" s="1"/>
    </row>
    <row r="642" spans="4:4">
      <c r="D642" s="1"/>
    </row>
    <row r="643" spans="4:4">
      <c r="D643" s="1"/>
    </row>
    <row r="644" spans="4:4">
      <c r="D644" s="1"/>
    </row>
    <row r="645" spans="4:4">
      <c r="D645" s="1"/>
    </row>
    <row r="646" spans="4:4">
      <c r="D646" s="1"/>
    </row>
    <row r="647" spans="4:4">
      <c r="D647" s="1"/>
    </row>
    <row r="648" spans="4:4">
      <c r="D648" s="1"/>
    </row>
    <row r="649" spans="4:4">
      <c r="D649" s="1"/>
    </row>
    <row r="650" spans="4:4">
      <c r="D650" s="1"/>
    </row>
    <row r="651" spans="4:4">
      <c r="D651" s="1"/>
    </row>
    <row r="652" spans="4:4">
      <c r="D652" s="1"/>
    </row>
    <row r="653" spans="4:4">
      <c r="D653" s="1"/>
    </row>
    <row r="654" spans="4:4">
      <c r="D654" s="1"/>
    </row>
    <row r="655" spans="4:4">
      <c r="D655" s="1"/>
    </row>
    <row r="656" spans="4:4">
      <c r="D656" s="1"/>
    </row>
    <row r="657" spans="4:4">
      <c r="D657" s="1"/>
    </row>
    <row r="658" spans="4:4">
      <c r="D658" s="1"/>
    </row>
    <row r="659" spans="4:4">
      <c r="D659" s="1"/>
    </row>
    <row r="660" spans="4:4">
      <c r="D660" s="1"/>
    </row>
    <row r="661" spans="4:4">
      <c r="D661" s="1"/>
    </row>
    <row r="662" spans="4:4">
      <c r="D662" s="1"/>
    </row>
    <row r="663" spans="4:4">
      <c r="D663" s="1"/>
    </row>
    <row r="664" spans="4:4">
      <c r="D664" s="1"/>
    </row>
    <row r="665" spans="4:4">
      <c r="D665" s="1"/>
    </row>
    <row r="666" spans="4:4">
      <c r="D666" s="1"/>
    </row>
    <row r="667" spans="4:4">
      <c r="D667" s="1"/>
    </row>
    <row r="668" spans="4:4">
      <c r="D668" s="1"/>
    </row>
    <row r="669" spans="4:4">
      <c r="D669" s="1"/>
    </row>
    <row r="670" spans="4:4">
      <c r="D670" s="1"/>
    </row>
    <row r="671" spans="4:4">
      <c r="D671" s="1"/>
    </row>
    <row r="672" spans="4:4">
      <c r="D672" s="1"/>
    </row>
    <row r="673" spans="4:4">
      <c r="D673" s="1"/>
    </row>
    <row r="674" spans="4:4">
      <c r="D674" s="1"/>
    </row>
    <row r="675" spans="4:4">
      <c r="D675" s="1"/>
    </row>
    <row r="676" spans="4:4">
      <c r="D676" s="1"/>
    </row>
    <row r="677" spans="4:4">
      <c r="D677" s="1"/>
    </row>
    <row r="678" spans="4:4">
      <c r="D678" s="1"/>
    </row>
    <row r="679" spans="4:4">
      <c r="D679" s="1"/>
    </row>
    <row r="680" spans="4:4">
      <c r="D680" s="1"/>
    </row>
    <row r="681" spans="4:4">
      <c r="D681" s="1"/>
    </row>
    <row r="682" spans="4:4">
      <c r="D682" s="1"/>
    </row>
    <row r="683" spans="4:4">
      <c r="D683" s="1"/>
    </row>
    <row r="684" spans="4:4">
      <c r="D684" s="1"/>
    </row>
    <row r="685" spans="4:4">
      <c r="D685" s="1"/>
    </row>
    <row r="686" spans="4:4">
      <c r="D686" s="1"/>
    </row>
    <row r="687" spans="4:4">
      <c r="D687" s="1"/>
    </row>
    <row r="688" spans="4:4">
      <c r="D688" s="1"/>
    </row>
    <row r="689" spans="4:4">
      <c r="D689" s="1"/>
    </row>
    <row r="690" spans="4:4">
      <c r="D690" s="1"/>
    </row>
    <row r="691" spans="4:4">
      <c r="D691" s="1"/>
    </row>
    <row r="692" spans="4:4">
      <c r="D692" s="1"/>
    </row>
    <row r="693" spans="4:4">
      <c r="D693" s="1"/>
    </row>
    <row r="694" spans="4:4">
      <c r="D694" s="1"/>
    </row>
    <row r="695" spans="4:4">
      <c r="D695" s="1"/>
    </row>
    <row r="696" spans="4:4">
      <c r="D696" s="1"/>
    </row>
    <row r="697" spans="4:4">
      <c r="D697" s="1"/>
    </row>
    <row r="698" spans="4:4">
      <c r="D698" s="1"/>
    </row>
    <row r="699" spans="4:4">
      <c r="D699" s="1"/>
    </row>
    <row r="700" spans="4:4">
      <c r="D700" s="1"/>
    </row>
    <row r="701" spans="4:4">
      <c r="D701" s="1"/>
    </row>
    <row r="702" spans="4:4">
      <c r="D702" s="1"/>
    </row>
    <row r="703" spans="4:4">
      <c r="D703" s="1"/>
    </row>
    <row r="704" spans="4:4">
      <c r="D704" s="1"/>
    </row>
    <row r="705" spans="4:4">
      <c r="D705" s="1"/>
    </row>
    <row r="706" spans="4:4">
      <c r="D706" s="1"/>
    </row>
    <row r="707" spans="4:4">
      <c r="D707" s="1"/>
    </row>
    <row r="708" spans="4:4">
      <c r="D708" s="1"/>
    </row>
    <row r="709" spans="4:4">
      <c r="D709" s="1"/>
    </row>
    <row r="710" spans="4:4">
      <c r="D710" s="1"/>
    </row>
    <row r="711" spans="4:4">
      <c r="D711" s="1"/>
    </row>
    <row r="712" spans="4:4">
      <c r="D712" s="1"/>
    </row>
    <row r="713" spans="4:4">
      <c r="D713" s="1"/>
    </row>
    <row r="714" spans="4:4">
      <c r="D714" s="1"/>
    </row>
    <row r="715" spans="4:4">
      <c r="D715" s="1"/>
    </row>
    <row r="716" spans="4:4">
      <c r="D716" s="1"/>
    </row>
    <row r="717" spans="4:4">
      <c r="D717" s="1"/>
    </row>
    <row r="718" spans="4:4">
      <c r="D718" s="1"/>
    </row>
    <row r="719" spans="4:4">
      <c r="D719" s="1"/>
    </row>
    <row r="720" spans="4:4">
      <c r="D720" s="1"/>
    </row>
    <row r="721" spans="4:4">
      <c r="D721" s="1"/>
    </row>
    <row r="722" spans="4:4">
      <c r="D722" s="1"/>
    </row>
    <row r="723" spans="4:4">
      <c r="D723" s="1"/>
    </row>
    <row r="724" spans="4:4">
      <c r="D724" s="1"/>
    </row>
    <row r="725" spans="4:4">
      <c r="D725" s="1"/>
    </row>
    <row r="726" spans="4:4">
      <c r="D726" s="1"/>
    </row>
    <row r="727" spans="4:4">
      <c r="D727" s="1"/>
    </row>
    <row r="728" spans="4:4">
      <c r="D728" s="1"/>
    </row>
    <row r="729" spans="4:4">
      <c r="D729" s="1"/>
    </row>
    <row r="730" spans="4:4">
      <c r="D730" s="1"/>
    </row>
    <row r="731" spans="4:4">
      <c r="D731" s="1"/>
    </row>
    <row r="732" spans="4:4">
      <c r="D732" s="1"/>
    </row>
    <row r="733" spans="4:4">
      <c r="D733" s="1"/>
    </row>
    <row r="734" spans="4:4">
      <c r="D734" s="1"/>
    </row>
    <row r="735" spans="4:4">
      <c r="D735" s="1"/>
    </row>
    <row r="736" spans="4:4">
      <c r="D736" s="1"/>
    </row>
    <row r="737" spans="4:4">
      <c r="D737" s="1"/>
    </row>
    <row r="738" spans="4:4">
      <c r="D738" s="1"/>
    </row>
    <row r="739" spans="4:4">
      <c r="D739" s="1"/>
    </row>
    <row r="740" spans="4:4">
      <c r="D740" s="1"/>
    </row>
    <row r="741" spans="4:4">
      <c r="D741" s="1"/>
    </row>
    <row r="742" spans="4:4">
      <c r="D742" s="1"/>
    </row>
    <row r="743" spans="4:4">
      <c r="D743" s="1"/>
    </row>
    <row r="744" spans="4:4">
      <c r="D744" s="1"/>
    </row>
    <row r="745" spans="4:4">
      <c r="D745" s="1"/>
    </row>
    <row r="746" spans="4:4">
      <c r="D746" s="1"/>
    </row>
    <row r="747" spans="4:4">
      <c r="D747" s="1"/>
    </row>
    <row r="748" spans="4:4">
      <c r="D748" s="1"/>
    </row>
    <row r="749" spans="4:4">
      <c r="D749" s="1"/>
    </row>
    <row r="750" spans="4:4">
      <c r="D750" s="1"/>
    </row>
    <row r="751" spans="4:4">
      <c r="D751" s="1"/>
    </row>
    <row r="752" spans="4:4">
      <c r="D752" s="1"/>
    </row>
    <row r="753" spans="4:4">
      <c r="D753" s="1"/>
    </row>
    <row r="754" spans="4:4">
      <c r="D754" s="1"/>
    </row>
    <row r="755" spans="4:4">
      <c r="D755" s="1"/>
    </row>
    <row r="756" spans="4:4">
      <c r="D756" s="1"/>
    </row>
    <row r="757" spans="4:4">
      <c r="D757" s="1"/>
    </row>
    <row r="758" spans="4:4">
      <c r="D758" s="1"/>
    </row>
    <row r="759" spans="4:4">
      <c r="D759" s="1"/>
    </row>
    <row r="760" spans="4:4">
      <c r="D760" s="1"/>
    </row>
    <row r="761" spans="4:4">
      <c r="D761" s="1"/>
    </row>
    <row r="762" spans="4:4">
      <c r="D762" s="1"/>
    </row>
    <row r="763" spans="4:4">
      <c r="D763" s="1"/>
    </row>
    <row r="764" spans="4:4">
      <c r="D764" s="1"/>
    </row>
    <row r="765" spans="4:4">
      <c r="D765" s="1"/>
    </row>
    <row r="766" spans="4:4">
      <c r="D766" s="1"/>
    </row>
    <row r="767" spans="4:4">
      <c r="D767" s="1"/>
    </row>
    <row r="768" spans="4:4">
      <c r="D768" s="1"/>
    </row>
    <row r="769" spans="4:4">
      <c r="D769" s="1"/>
    </row>
    <row r="770" spans="4:4">
      <c r="D770" s="1"/>
    </row>
    <row r="771" spans="4:4">
      <c r="D771" s="1"/>
    </row>
    <row r="772" spans="4:4">
      <c r="D772" s="1"/>
    </row>
    <row r="773" spans="4:4">
      <c r="D773" s="1"/>
    </row>
    <row r="774" spans="4:4">
      <c r="D774" s="1"/>
    </row>
    <row r="775" spans="4:4">
      <c r="D775" s="1"/>
    </row>
    <row r="776" spans="4:4">
      <c r="D776" s="1"/>
    </row>
    <row r="777" spans="4:4">
      <c r="D777" s="1"/>
    </row>
    <row r="778" spans="4:4">
      <c r="D778" s="1"/>
    </row>
    <row r="779" spans="4:4">
      <c r="D779" s="1"/>
    </row>
    <row r="780" spans="4:4">
      <c r="D780" s="1"/>
    </row>
    <row r="781" spans="4:4">
      <c r="D781" s="1"/>
    </row>
    <row r="782" spans="4:4">
      <c r="D782" s="1"/>
    </row>
    <row r="783" spans="4:4">
      <c r="D783" s="1"/>
    </row>
    <row r="784" spans="4:4">
      <c r="D784" s="1"/>
    </row>
    <row r="785" spans="4:4">
      <c r="D785" s="1"/>
    </row>
    <row r="786" spans="4:4">
      <c r="D786" s="1"/>
    </row>
    <row r="787" spans="4:4">
      <c r="D787" s="1"/>
    </row>
    <row r="788" spans="4:4">
      <c r="D788" s="1"/>
    </row>
    <row r="789" spans="4:4">
      <c r="D789" s="1"/>
    </row>
    <row r="790" spans="4:4">
      <c r="D790" s="1"/>
    </row>
    <row r="791" spans="4:4">
      <c r="D791" s="1"/>
    </row>
    <row r="792" spans="4:4">
      <c r="D792" s="1"/>
    </row>
    <row r="793" spans="4:4">
      <c r="D793" s="1"/>
    </row>
    <row r="794" spans="4:4">
      <c r="D794" s="1"/>
    </row>
    <row r="795" spans="4:4">
      <c r="D795" s="1"/>
    </row>
    <row r="796" spans="4:4">
      <c r="D796" s="1"/>
    </row>
    <row r="797" spans="4:4">
      <c r="D797" s="1"/>
    </row>
    <row r="798" spans="4:4">
      <c r="D798" s="1"/>
    </row>
    <row r="799" spans="4:4">
      <c r="D799" s="1"/>
    </row>
    <row r="800" spans="4:4">
      <c r="D800" s="1"/>
    </row>
    <row r="801" spans="4:4">
      <c r="D801" s="1"/>
    </row>
    <row r="802" spans="4:4">
      <c r="D802" s="1"/>
    </row>
    <row r="803" spans="4:4">
      <c r="D803" s="1"/>
    </row>
    <row r="804" spans="4:4">
      <c r="D804" s="1"/>
    </row>
    <row r="805" spans="4:4">
      <c r="D805" s="1"/>
    </row>
    <row r="806" spans="4:4">
      <c r="D806" s="1"/>
    </row>
    <row r="807" spans="4:4">
      <c r="D807" s="1"/>
    </row>
    <row r="808" spans="4:4">
      <c r="D808" s="1"/>
    </row>
    <row r="809" spans="4:4">
      <c r="D809" s="1"/>
    </row>
    <row r="810" spans="4:4">
      <c r="D810" s="1"/>
    </row>
    <row r="811" spans="4:4">
      <c r="D811" s="1"/>
    </row>
    <row r="812" spans="4:4">
      <c r="D812" s="1"/>
    </row>
    <row r="813" spans="4:4">
      <c r="D813" s="1"/>
    </row>
    <row r="814" spans="4:4">
      <c r="D814" s="1"/>
    </row>
    <row r="815" spans="4:4">
      <c r="D815" s="1"/>
    </row>
    <row r="816" spans="4:4">
      <c r="D816" s="1"/>
    </row>
    <row r="817" spans="4:4">
      <c r="D817" s="1"/>
    </row>
    <row r="818" spans="4:4">
      <c r="D818" s="1"/>
    </row>
    <row r="819" spans="4:4">
      <c r="D819" s="1"/>
    </row>
    <row r="820" spans="4:4">
      <c r="D820" s="1"/>
    </row>
    <row r="821" spans="4:4">
      <c r="D821" s="1"/>
    </row>
    <row r="822" spans="4:4">
      <c r="D822" s="1"/>
    </row>
    <row r="823" spans="4:4">
      <c r="D823" s="1"/>
    </row>
    <row r="824" spans="4:4">
      <c r="D824" s="1"/>
    </row>
    <row r="825" spans="4:4">
      <c r="D825" s="1"/>
    </row>
    <row r="826" spans="4:4">
      <c r="D826" s="1"/>
    </row>
    <row r="827" spans="4:4">
      <c r="D827" s="1"/>
    </row>
    <row r="828" spans="4:4">
      <c r="D828" s="1"/>
    </row>
    <row r="829" spans="4:4">
      <c r="D829" s="1"/>
    </row>
    <row r="830" spans="4:4">
      <c r="D830" s="1"/>
    </row>
    <row r="831" spans="4:4">
      <c r="D831" s="1"/>
    </row>
    <row r="832" spans="4:4">
      <c r="D832" s="1"/>
    </row>
    <row r="833" spans="4:4">
      <c r="D833" s="1"/>
    </row>
    <row r="834" spans="4:4">
      <c r="D834" s="1"/>
    </row>
    <row r="835" spans="4:4">
      <c r="D835" s="1"/>
    </row>
    <row r="836" spans="4:4">
      <c r="D836" s="1"/>
    </row>
    <row r="837" spans="4:4">
      <c r="D837" s="1"/>
    </row>
    <row r="838" spans="4:4">
      <c r="D838" s="1"/>
    </row>
    <row r="839" spans="4:4">
      <c r="D839" s="1"/>
    </row>
    <row r="840" spans="4:4">
      <c r="D840" s="1"/>
    </row>
    <row r="841" spans="4:4">
      <c r="D841" s="1"/>
    </row>
    <row r="842" spans="4:4">
      <c r="D842" s="1"/>
    </row>
    <row r="843" spans="4:4">
      <c r="D843" s="1"/>
    </row>
    <row r="844" spans="4:4">
      <c r="D844" s="1"/>
    </row>
    <row r="845" spans="4:4">
      <c r="D845" s="1"/>
    </row>
    <row r="846" spans="4:4">
      <c r="D846" s="1"/>
    </row>
    <row r="847" spans="4:4">
      <c r="D847" s="1"/>
    </row>
    <row r="848" spans="4:4">
      <c r="D848" s="1"/>
    </row>
    <row r="849" spans="4:4">
      <c r="D849" s="1"/>
    </row>
    <row r="850" spans="4:4">
      <c r="D850" s="1"/>
    </row>
    <row r="851" spans="4:4">
      <c r="D851" s="1"/>
    </row>
    <row r="852" spans="4:4">
      <c r="D852" s="1"/>
    </row>
    <row r="853" spans="4:4">
      <c r="D853" s="1"/>
    </row>
    <row r="854" spans="4:4">
      <c r="D854" s="1"/>
    </row>
    <row r="855" spans="4:4">
      <c r="D855" s="1"/>
    </row>
    <row r="856" spans="4:4">
      <c r="D856" s="1"/>
    </row>
    <row r="857" spans="4:4">
      <c r="D857" s="1"/>
    </row>
    <row r="858" spans="4:4">
      <c r="D858" s="1"/>
    </row>
    <row r="859" spans="4:4">
      <c r="D859" s="1"/>
    </row>
    <row r="860" spans="4:4">
      <c r="D860" s="1"/>
    </row>
    <row r="861" spans="4:4">
      <c r="D861" s="1"/>
    </row>
    <row r="862" spans="4:4">
      <c r="D862" s="1"/>
    </row>
    <row r="863" spans="4:4">
      <c r="D863" s="1"/>
    </row>
    <row r="864" spans="4:4">
      <c r="D864" s="1"/>
    </row>
    <row r="865" spans="4:4">
      <c r="D865" s="1"/>
    </row>
    <row r="866" spans="4:4">
      <c r="D866" s="1"/>
    </row>
    <row r="867" spans="4:4">
      <c r="D867" s="1"/>
    </row>
    <row r="868" spans="4:4">
      <c r="D868" s="1"/>
    </row>
    <row r="869" spans="4:4">
      <c r="D869" s="1"/>
    </row>
    <row r="870" spans="4:4">
      <c r="D870" s="1"/>
    </row>
    <row r="871" spans="4:4">
      <c r="D871" s="1"/>
    </row>
    <row r="872" spans="4:4">
      <c r="D872" s="1"/>
    </row>
    <row r="873" spans="4:4">
      <c r="D873" s="1"/>
    </row>
    <row r="874" spans="4:4">
      <c r="D874" s="1"/>
    </row>
    <row r="875" spans="4:4">
      <c r="D875" s="1"/>
    </row>
    <row r="876" spans="4:4">
      <c r="D876" s="1"/>
    </row>
    <row r="877" spans="4:4">
      <c r="D877" s="1"/>
    </row>
    <row r="878" spans="4:4">
      <c r="D878" s="1"/>
    </row>
    <row r="879" spans="4:4">
      <c r="D879" s="1"/>
    </row>
    <row r="880" spans="4:4">
      <c r="D880" s="1"/>
    </row>
    <row r="881" spans="4:4">
      <c r="D881" s="1"/>
    </row>
    <row r="882" spans="4:4">
      <c r="D882" s="1"/>
    </row>
    <row r="883" spans="4:4">
      <c r="D883" s="1"/>
    </row>
    <row r="884" spans="4:4">
      <c r="D884" s="1"/>
    </row>
    <row r="885" spans="4:4">
      <c r="D885" s="1"/>
    </row>
    <row r="886" spans="4:4">
      <c r="D886" s="1"/>
    </row>
    <row r="887" spans="4:4">
      <c r="D887" s="1"/>
    </row>
    <row r="888" spans="4:4">
      <c r="D888" s="1"/>
    </row>
    <row r="889" spans="4:4">
      <c r="D889" s="1"/>
    </row>
    <row r="890" spans="4:4">
      <c r="D890" s="1"/>
    </row>
    <row r="891" spans="4:4">
      <c r="D891" s="1"/>
    </row>
    <row r="892" spans="4:4">
      <c r="D892" s="1"/>
    </row>
    <row r="893" spans="4:4">
      <c r="D893" s="1"/>
    </row>
    <row r="894" spans="4:4">
      <c r="D894" s="1"/>
    </row>
    <row r="895" spans="4:4">
      <c r="D895" s="1"/>
    </row>
    <row r="896" spans="4:4">
      <c r="D896" s="1"/>
    </row>
    <row r="897" spans="4:4">
      <c r="D897" s="1"/>
    </row>
    <row r="898" spans="4:4">
      <c r="D898" s="1"/>
    </row>
    <row r="899" spans="4:4">
      <c r="D899" s="1"/>
    </row>
    <row r="900" spans="4:4">
      <c r="D900" s="1"/>
    </row>
    <row r="901" spans="4:4">
      <c r="D901" s="1"/>
    </row>
    <row r="902" spans="4:4">
      <c r="D902" s="1"/>
    </row>
    <row r="903" spans="4:4">
      <c r="D903" s="1"/>
    </row>
    <row r="904" spans="4:4">
      <c r="D904" s="1"/>
    </row>
    <row r="905" spans="4:4">
      <c r="D905" s="1"/>
    </row>
    <row r="906" spans="4:4">
      <c r="D906" s="1"/>
    </row>
    <row r="907" spans="4:4">
      <c r="D907" s="1"/>
    </row>
    <row r="908" spans="4:4">
      <c r="D908" s="1"/>
    </row>
    <row r="909" spans="4:4">
      <c r="D909" s="1"/>
    </row>
    <row r="910" spans="4:4">
      <c r="D910" s="1"/>
    </row>
    <row r="911" spans="4:4">
      <c r="D911" s="1"/>
    </row>
    <row r="912" spans="4:4">
      <c r="D912" s="1"/>
    </row>
    <row r="913" spans="4:4">
      <c r="D913" s="1"/>
    </row>
    <row r="914" spans="4:4">
      <c r="D914" s="1"/>
    </row>
    <row r="915" spans="4:4">
      <c r="D915" s="1"/>
    </row>
    <row r="916" spans="4:4">
      <c r="D916" s="1"/>
    </row>
    <row r="917" spans="4:4">
      <c r="D917" s="1"/>
    </row>
    <row r="918" spans="4:4">
      <c r="D918" s="1"/>
    </row>
    <row r="919" spans="4:4">
      <c r="D919" s="1"/>
    </row>
    <row r="920" spans="4:4">
      <c r="D920" s="1"/>
    </row>
    <row r="921" spans="4:4">
      <c r="D921" s="1"/>
    </row>
    <row r="922" spans="4:4">
      <c r="D922" s="1"/>
    </row>
    <row r="923" spans="4:4">
      <c r="D923" s="1"/>
    </row>
    <row r="924" spans="4:4">
      <c r="D924" s="1"/>
    </row>
    <row r="925" spans="4:4">
      <c r="D925" s="1"/>
    </row>
    <row r="926" spans="4:4">
      <c r="D926" s="1"/>
    </row>
    <row r="927" spans="4:4">
      <c r="D927" s="1"/>
    </row>
    <row r="928" spans="4:4">
      <c r="D928" s="1"/>
    </row>
    <row r="929" spans="4:4">
      <c r="D929" s="1"/>
    </row>
    <row r="930" spans="4:4">
      <c r="D930" s="1"/>
    </row>
    <row r="931" spans="4:4">
      <c r="D931" s="1"/>
    </row>
    <row r="932" spans="4:4">
      <c r="D932" s="1"/>
    </row>
    <row r="933" spans="4:4">
      <c r="D933" s="1"/>
    </row>
    <row r="934" spans="4:4">
      <c r="D934" s="1"/>
    </row>
    <row r="935" spans="4:4">
      <c r="D935" s="1"/>
    </row>
    <row r="936" spans="4:4">
      <c r="D936" s="1"/>
    </row>
    <row r="937" spans="4:4">
      <c r="D937" s="1"/>
    </row>
    <row r="938" spans="4:4">
      <c r="D938" s="1"/>
    </row>
    <row r="939" spans="4:4">
      <c r="D939" s="1"/>
    </row>
    <row r="940" spans="4:4">
      <c r="D940" s="1"/>
    </row>
    <row r="941" spans="4:4">
      <c r="D941" s="1"/>
    </row>
    <row r="942" spans="4:4">
      <c r="D942" s="1"/>
    </row>
    <row r="943" spans="4:4">
      <c r="D943" s="1"/>
    </row>
    <row r="944" spans="4:4">
      <c r="D944" s="1"/>
    </row>
    <row r="945" spans="4:4">
      <c r="D945" s="1"/>
    </row>
    <row r="946" spans="4:4">
      <c r="D946" s="1"/>
    </row>
    <row r="947" spans="4:4">
      <c r="D947" s="1"/>
    </row>
    <row r="948" spans="4:4">
      <c r="D948" s="1"/>
    </row>
    <row r="949" spans="4:4">
      <c r="D949" s="1"/>
    </row>
    <row r="950" spans="4:4">
      <c r="D950" s="1"/>
    </row>
    <row r="951" spans="4:4">
      <c r="D951" s="1"/>
    </row>
    <row r="952" spans="4:4">
      <c r="D952" s="1"/>
    </row>
    <row r="953" spans="4:4">
      <c r="D953" s="1"/>
    </row>
    <row r="954" spans="4:4">
      <c r="D954" s="1"/>
    </row>
    <row r="955" spans="4:4">
      <c r="D955" s="1"/>
    </row>
    <row r="956" spans="4:4">
      <c r="D956" s="1"/>
    </row>
    <row r="957" spans="4:4">
      <c r="D957" s="1"/>
    </row>
    <row r="958" spans="4:4">
      <c r="D958" s="1"/>
    </row>
    <row r="959" spans="4:4">
      <c r="D959" s="1"/>
    </row>
    <row r="960" spans="4:4">
      <c r="D960" s="1"/>
    </row>
    <row r="961" spans="4:4">
      <c r="D961" s="1"/>
    </row>
    <row r="962" spans="4:4">
      <c r="D962" s="1"/>
    </row>
    <row r="963" spans="4:4">
      <c r="D963" s="1"/>
    </row>
    <row r="964" spans="4:4">
      <c r="D964" s="1"/>
    </row>
    <row r="965" spans="4:4">
      <c r="D965" s="1"/>
    </row>
    <row r="966" spans="4:4">
      <c r="D966" s="1"/>
    </row>
    <row r="967" spans="4:4">
      <c r="D967" s="1"/>
    </row>
    <row r="968" spans="4:4">
      <c r="D968" s="1"/>
    </row>
    <row r="969" spans="4:4">
      <c r="D969" s="1"/>
    </row>
    <row r="970" spans="4:4">
      <c r="D970" s="1"/>
    </row>
    <row r="971" spans="4:4">
      <c r="D971" s="1"/>
    </row>
    <row r="972" spans="4:4">
      <c r="D972" s="1"/>
    </row>
    <row r="973" spans="4:4">
      <c r="D973" s="1"/>
    </row>
    <row r="974" spans="4:4">
      <c r="D974" s="1"/>
    </row>
    <row r="975" spans="4:4">
      <c r="D975" s="1"/>
    </row>
    <row r="976" spans="4:4">
      <c r="D976" s="1"/>
    </row>
    <row r="977" spans="4:4">
      <c r="D977" s="1"/>
    </row>
    <row r="978" spans="4:4">
      <c r="D978" s="1"/>
    </row>
    <row r="979" spans="4:4">
      <c r="D979" s="1"/>
    </row>
    <row r="980" spans="4:4">
      <c r="D980" s="1"/>
    </row>
    <row r="981" spans="4:4">
      <c r="D981" s="1"/>
    </row>
    <row r="982" spans="4:4">
      <c r="D982" s="1"/>
    </row>
    <row r="983" spans="4:4">
      <c r="D983" s="1"/>
    </row>
    <row r="984" spans="4:4">
      <c r="D984" s="1"/>
    </row>
    <row r="985" spans="4:4">
      <c r="D985" s="1"/>
    </row>
    <row r="986" spans="4:4">
      <c r="D986" s="1"/>
    </row>
    <row r="987" spans="4:4">
      <c r="D987" s="1"/>
    </row>
    <row r="988" spans="4:4">
      <c r="D988" s="1"/>
    </row>
    <row r="989" spans="4:4">
      <c r="D989" s="1"/>
    </row>
    <row r="990" spans="4:4">
      <c r="D990" s="1"/>
    </row>
    <row r="991" spans="4:4">
      <c r="D991" s="1"/>
    </row>
    <row r="992" spans="4:4">
      <c r="D992" s="1"/>
    </row>
    <row r="993" spans="4:4">
      <c r="D993" s="1"/>
    </row>
    <row r="994" spans="4:4">
      <c r="D994" s="1"/>
    </row>
    <row r="995" spans="4:4">
      <c r="D995" s="1"/>
    </row>
    <row r="996" spans="4:4">
      <c r="D996" s="1"/>
    </row>
    <row r="997" spans="4:4">
      <c r="D997" s="1"/>
    </row>
    <row r="998" spans="4:4">
      <c r="D998" s="1"/>
    </row>
    <row r="999" spans="4:4">
      <c r="D999" s="1"/>
    </row>
    <row r="1000" spans="4:4">
      <c r="D1000" s="1"/>
    </row>
    <row r="1001" spans="4:4">
      <c r="D1001" s="1"/>
    </row>
    <row r="1002" spans="4:4">
      <c r="D1002" s="1"/>
    </row>
    <row r="1003" spans="4:4">
      <c r="D1003" s="1"/>
    </row>
    <row r="1004" spans="4:4">
      <c r="D1004" s="1"/>
    </row>
    <row r="1005" spans="4:4">
      <c r="D1005" s="1"/>
    </row>
    <row r="1006" spans="4:4">
      <c r="D1006" s="1"/>
    </row>
    <row r="1007" spans="4:4">
      <c r="D1007" s="1"/>
    </row>
    <row r="1008" spans="4:4">
      <c r="D1008" s="1"/>
    </row>
    <row r="1009" spans="4:4">
      <c r="D1009" s="1"/>
    </row>
    <row r="1010" spans="4:4">
      <c r="D1010" s="1"/>
    </row>
    <row r="1011" spans="4:4">
      <c r="D1011" s="1"/>
    </row>
    <row r="1012" spans="4:4">
      <c r="D1012" s="1"/>
    </row>
    <row r="1013" spans="4:4">
      <c r="D1013" s="1"/>
    </row>
    <row r="1014" spans="4:4">
      <c r="D1014" s="1"/>
    </row>
    <row r="1015" spans="4:4">
      <c r="D1015" s="1"/>
    </row>
    <row r="1016" spans="4:4">
      <c r="D1016" s="1"/>
    </row>
    <row r="1017" spans="4:4">
      <c r="D1017" s="1"/>
    </row>
    <row r="1018" spans="4:4">
      <c r="D1018" s="1"/>
    </row>
    <row r="1019" spans="4:4">
      <c r="D1019" s="1"/>
    </row>
    <row r="1020" spans="4:4">
      <c r="D1020" s="1"/>
    </row>
    <row r="1021" spans="4:4">
      <c r="D1021" s="1"/>
    </row>
    <row r="1022" spans="4:4">
      <c r="D1022" s="1"/>
    </row>
    <row r="1023" spans="4:4">
      <c r="D1023" s="1"/>
    </row>
    <row r="1024" spans="4:4">
      <c r="D1024" s="1"/>
    </row>
    <row r="1025" spans="4:4">
      <c r="D1025" s="1"/>
    </row>
    <row r="1026" spans="4:4">
      <c r="D1026" s="1"/>
    </row>
    <row r="1027" spans="4:4">
      <c r="D1027" s="1"/>
    </row>
    <row r="1028" spans="4:4">
      <c r="D1028" s="1"/>
    </row>
    <row r="1029" spans="4:4">
      <c r="D1029" s="1"/>
    </row>
    <row r="1030" spans="4:4">
      <c r="D1030" s="1"/>
    </row>
    <row r="1031" spans="4:4">
      <c r="D1031" s="1"/>
    </row>
    <row r="1032" spans="4:4">
      <c r="D1032" s="1"/>
    </row>
    <row r="1033" spans="4:4">
      <c r="D1033" s="1"/>
    </row>
    <row r="1034" spans="4:4">
      <c r="D1034" s="1"/>
    </row>
    <row r="1035" spans="4:4">
      <c r="D1035" s="1"/>
    </row>
    <row r="1036" spans="4:4">
      <c r="D1036" s="1"/>
    </row>
    <row r="1037" spans="4:4">
      <c r="D1037" s="1"/>
    </row>
    <row r="1038" spans="4:4">
      <c r="D1038" s="1"/>
    </row>
    <row r="1039" spans="4:4">
      <c r="D1039" s="1"/>
    </row>
    <row r="1040" spans="4:4">
      <c r="D1040" s="1"/>
    </row>
    <row r="1041" spans="4:4">
      <c r="D1041" s="1"/>
    </row>
    <row r="1042" spans="4:4">
      <c r="D1042" s="1"/>
    </row>
    <row r="1043" spans="4:4">
      <c r="D1043" s="1"/>
    </row>
    <row r="1044" spans="4:4">
      <c r="D1044" s="1"/>
    </row>
    <row r="1045" spans="4:4">
      <c r="D1045" s="1"/>
    </row>
    <row r="1046" spans="4:4">
      <c r="D1046" s="1"/>
    </row>
    <row r="1047" spans="4:4">
      <c r="D1047" s="1"/>
    </row>
    <row r="1048" spans="4:4">
      <c r="D1048" s="1"/>
    </row>
    <row r="1049" spans="4:4">
      <c r="D1049" s="1"/>
    </row>
    <row r="1050" spans="4:4">
      <c r="D1050" s="1"/>
    </row>
    <row r="1051" spans="4:4">
      <c r="D1051" s="1"/>
    </row>
    <row r="1052" spans="4:4">
      <c r="D1052" s="1"/>
    </row>
    <row r="1053" spans="4:4">
      <c r="D1053" s="1"/>
    </row>
    <row r="1054" spans="4:4">
      <c r="D1054" s="1"/>
    </row>
    <row r="1055" spans="4:4">
      <c r="D1055" s="1"/>
    </row>
    <row r="1056" spans="4:4">
      <c r="D1056" s="1"/>
    </row>
    <row r="1057" spans="4:4">
      <c r="D1057" s="1"/>
    </row>
    <row r="1058" spans="4:4">
      <c r="D1058" s="1"/>
    </row>
    <row r="1059" spans="4:4">
      <c r="D1059" s="1"/>
    </row>
    <row r="1060" spans="4:4">
      <c r="D1060" s="1"/>
    </row>
    <row r="1061" spans="4:4">
      <c r="D1061" s="1"/>
    </row>
    <row r="1062" spans="4:4">
      <c r="D1062" s="1"/>
    </row>
    <row r="1063" spans="4:4">
      <c r="D1063" s="1"/>
    </row>
    <row r="1064" spans="4:4">
      <c r="D1064" s="1"/>
    </row>
    <row r="1065" spans="4:4">
      <c r="D1065" s="1"/>
    </row>
    <row r="1066" spans="4:4">
      <c r="D1066" s="1"/>
    </row>
    <row r="1067" spans="4:4">
      <c r="D1067" s="1"/>
    </row>
    <row r="1068" spans="4:4">
      <c r="D1068" s="1"/>
    </row>
    <row r="1069" spans="4:4">
      <c r="D1069" s="1"/>
    </row>
    <row r="1070" spans="4:4">
      <c r="D1070" s="1"/>
    </row>
    <row r="1071" spans="4:4">
      <c r="D1071" s="1"/>
    </row>
    <row r="1072" spans="4:4">
      <c r="D1072" s="1"/>
    </row>
    <row r="1073" spans="4:4">
      <c r="D1073" s="1"/>
    </row>
    <row r="1074" spans="4:4">
      <c r="D1074" s="1"/>
    </row>
    <row r="1075" spans="4:4">
      <c r="D1075" s="1"/>
    </row>
    <row r="1076" spans="4:4">
      <c r="D1076" s="1"/>
    </row>
    <row r="1077" spans="4:4">
      <c r="D1077" s="1"/>
    </row>
    <row r="1078" spans="4:4">
      <c r="D1078" s="1"/>
    </row>
    <row r="1079" spans="4:4">
      <c r="D1079" s="1"/>
    </row>
    <row r="1080" spans="4:4">
      <c r="D1080" s="1"/>
    </row>
    <row r="1081" spans="4:4">
      <c r="D1081" s="1"/>
    </row>
    <row r="1082" spans="4:4">
      <c r="D1082" s="1"/>
    </row>
    <row r="1083" spans="4:4">
      <c r="D1083" s="1"/>
    </row>
    <row r="1084" spans="4:4">
      <c r="D1084" s="1"/>
    </row>
    <row r="1085" spans="4:4">
      <c r="D1085" s="1"/>
    </row>
    <row r="1086" spans="4:4">
      <c r="D1086" s="1"/>
    </row>
    <row r="1087" spans="4:4">
      <c r="D1087" s="1"/>
    </row>
    <row r="1088" spans="4:4">
      <c r="D1088" s="1"/>
    </row>
    <row r="1089" spans="4:4">
      <c r="D1089" s="1"/>
    </row>
    <row r="1090" spans="4:4">
      <c r="D1090" s="1"/>
    </row>
    <row r="1091" spans="4:4">
      <c r="D1091" s="1"/>
    </row>
    <row r="1092" spans="4:4">
      <c r="D1092" s="1"/>
    </row>
    <row r="1093" spans="4:4">
      <c r="D1093" s="1"/>
    </row>
    <row r="1094" spans="4:4">
      <c r="D1094" s="1"/>
    </row>
    <row r="1095" spans="4:4">
      <c r="D1095" s="1"/>
    </row>
    <row r="1096" spans="4:4">
      <c r="D1096" s="1"/>
    </row>
    <row r="1097" spans="4:4">
      <c r="D1097" s="1"/>
    </row>
    <row r="1098" spans="4:4">
      <c r="D1098" s="1"/>
    </row>
    <row r="1099" spans="4:4">
      <c r="D1099" s="1"/>
    </row>
    <row r="1100" spans="4:4">
      <c r="D1100" s="1"/>
    </row>
    <row r="1101" spans="4:4">
      <c r="D1101" s="1"/>
    </row>
    <row r="1102" spans="4:4">
      <c r="D1102" s="1"/>
    </row>
    <row r="1103" spans="4:4">
      <c r="D1103" s="1"/>
    </row>
    <row r="1104" spans="4:4">
      <c r="D1104" s="1"/>
    </row>
    <row r="1105" spans="4:4">
      <c r="D1105" s="1"/>
    </row>
    <row r="1106" spans="4:4">
      <c r="D1106" s="1"/>
    </row>
    <row r="1107" spans="4:4">
      <c r="D1107" s="1"/>
    </row>
    <row r="1108" spans="4:4">
      <c r="D1108" s="1"/>
    </row>
    <row r="1109" spans="4:4">
      <c r="D1109" s="1"/>
    </row>
    <row r="1110" spans="4:4">
      <c r="D1110" s="1"/>
    </row>
    <row r="1111" spans="4:4">
      <c r="D1111" s="1"/>
    </row>
    <row r="1112" spans="4:4">
      <c r="D1112" s="1"/>
    </row>
    <row r="1113" spans="4:4">
      <c r="D1113" s="1"/>
    </row>
    <row r="1114" spans="4:4">
      <c r="D1114" s="1"/>
    </row>
    <row r="1115" spans="4:4">
      <c r="D1115" s="1"/>
    </row>
    <row r="1116" spans="4:4">
      <c r="D1116" s="1"/>
    </row>
    <row r="1117" spans="4:4">
      <c r="D1117" s="1"/>
    </row>
    <row r="1118" spans="4:4">
      <c r="D1118" s="1"/>
    </row>
    <row r="1119" spans="4:4">
      <c r="D1119" s="1"/>
    </row>
    <row r="1120" spans="4:4">
      <c r="D1120" s="1"/>
    </row>
    <row r="1121" spans="4:4">
      <c r="D1121" s="1"/>
    </row>
    <row r="1122" spans="4:4">
      <c r="D1122" s="1"/>
    </row>
    <row r="1123" spans="4:4">
      <c r="D1123" s="1"/>
    </row>
    <row r="1124" spans="4:4">
      <c r="D1124" s="1"/>
    </row>
    <row r="1125" spans="4:4">
      <c r="D1125" s="1"/>
    </row>
    <row r="1126" spans="4:4">
      <c r="D1126" s="1"/>
    </row>
    <row r="1127" spans="4:4">
      <c r="D1127" s="1"/>
    </row>
    <row r="1128" spans="4:4">
      <c r="D1128" s="1"/>
    </row>
    <row r="1129" spans="4:4">
      <c r="D1129" s="1"/>
    </row>
    <row r="1130" spans="4:4">
      <c r="D1130" s="1"/>
    </row>
    <row r="1131" spans="4:4">
      <c r="D1131" s="1"/>
    </row>
    <row r="1132" spans="4:4">
      <c r="D1132" s="1"/>
    </row>
    <row r="1133" spans="4:4">
      <c r="D1133" s="1"/>
    </row>
    <row r="1134" spans="4:4">
      <c r="D1134" s="1"/>
    </row>
    <row r="1135" spans="4:4">
      <c r="D1135" s="1"/>
    </row>
    <row r="1136" spans="4:4">
      <c r="D1136" s="1"/>
    </row>
    <row r="1137" spans="4:4">
      <c r="D1137" s="1"/>
    </row>
    <row r="1138" spans="4:4">
      <c r="D1138" s="1"/>
    </row>
    <row r="1139" spans="4:4">
      <c r="D1139" s="1"/>
    </row>
    <row r="1140" spans="4:4">
      <c r="D1140" s="1"/>
    </row>
    <row r="1141" spans="4:4">
      <c r="D1141" s="1"/>
    </row>
    <row r="1142" spans="4:4">
      <c r="D1142" s="1"/>
    </row>
    <row r="1143" spans="4:4">
      <c r="D1143" s="1"/>
    </row>
    <row r="1144" spans="4:4">
      <c r="D1144" s="1"/>
    </row>
    <row r="1145" spans="4:4">
      <c r="D1145" s="1"/>
    </row>
    <row r="1146" spans="4:4">
      <c r="D1146" s="1"/>
    </row>
    <row r="1147" spans="4:4">
      <c r="D1147" s="1"/>
    </row>
    <row r="1148" spans="4:4">
      <c r="D1148" s="1"/>
    </row>
    <row r="1149" spans="4:4">
      <c r="D1149" s="1"/>
    </row>
    <row r="1150" spans="4:4">
      <c r="D1150" s="1"/>
    </row>
    <row r="1151" spans="4:4">
      <c r="D1151" s="1"/>
    </row>
    <row r="1152" spans="4:4">
      <c r="D1152" s="1"/>
    </row>
    <row r="1153" spans="4:4">
      <c r="D1153" s="1"/>
    </row>
    <row r="1154" spans="4:4">
      <c r="D1154" s="1"/>
    </row>
    <row r="1155" spans="4:4">
      <c r="D1155" s="1"/>
    </row>
    <row r="1156" spans="4:4">
      <c r="D1156" s="1"/>
    </row>
    <row r="1157" spans="4:4">
      <c r="D1157" s="1"/>
    </row>
    <row r="1158" spans="4:4">
      <c r="D1158" s="1"/>
    </row>
    <row r="1159" spans="4:4">
      <c r="D1159" s="1"/>
    </row>
    <row r="1160" spans="4:4">
      <c r="D1160" s="1"/>
    </row>
    <row r="1161" spans="4:4">
      <c r="D1161" s="1"/>
    </row>
    <row r="1162" spans="4:4">
      <c r="D1162" s="1"/>
    </row>
    <row r="1163" spans="4:4">
      <c r="D1163" s="1"/>
    </row>
    <row r="1164" spans="4:4">
      <c r="D1164" s="1"/>
    </row>
    <row r="1165" spans="4:4">
      <c r="D1165" s="1"/>
    </row>
    <row r="1166" spans="4:4">
      <c r="D1166" s="1"/>
    </row>
    <row r="1167" spans="4:4">
      <c r="D1167" s="1"/>
    </row>
    <row r="1168" spans="4:4">
      <c r="D1168" s="1"/>
    </row>
    <row r="1169" spans="4:4">
      <c r="D1169" s="1"/>
    </row>
    <row r="1170" spans="4:4">
      <c r="D1170" s="1"/>
    </row>
    <row r="1171" spans="4:4">
      <c r="D1171" s="1"/>
    </row>
    <row r="1172" spans="4:4">
      <c r="D1172" s="1"/>
    </row>
    <row r="1173" spans="4:4">
      <c r="D1173" s="1"/>
    </row>
    <row r="1174" spans="4:4">
      <c r="D1174" s="1"/>
    </row>
    <row r="1175" spans="4:4">
      <c r="D1175" s="1"/>
    </row>
    <row r="1176" spans="4:4">
      <c r="D1176" s="1"/>
    </row>
    <row r="1177" spans="4:4">
      <c r="D1177" s="1"/>
    </row>
    <row r="1178" spans="4:4">
      <c r="D1178" s="1"/>
    </row>
    <row r="1179" spans="4:4">
      <c r="D1179" s="1"/>
    </row>
    <row r="1180" spans="4:4">
      <c r="D1180" s="1"/>
    </row>
    <row r="1181" spans="4:4">
      <c r="D1181" s="1"/>
    </row>
    <row r="1182" spans="4:4">
      <c r="D1182" s="1"/>
    </row>
    <row r="1183" spans="4:4">
      <c r="D1183" s="1"/>
    </row>
    <row r="1184" spans="4:4">
      <c r="D1184" s="1"/>
    </row>
    <row r="1185" spans="4:4">
      <c r="D1185" s="1"/>
    </row>
    <row r="1186" spans="4:4">
      <c r="D1186" s="1"/>
    </row>
    <row r="1187" spans="4:4">
      <c r="D1187" s="1"/>
    </row>
    <row r="1188" spans="4:4">
      <c r="D1188" s="1"/>
    </row>
    <row r="1189" spans="4:4">
      <c r="D1189" s="1"/>
    </row>
    <row r="1190" spans="4:4">
      <c r="D1190" s="1"/>
    </row>
    <row r="1191" spans="4:4">
      <c r="D1191" s="1"/>
    </row>
    <row r="1192" spans="4:4">
      <c r="D1192" s="1"/>
    </row>
    <row r="1193" spans="4:4">
      <c r="D1193" s="1"/>
    </row>
    <row r="1194" spans="4:4">
      <c r="D1194" s="1"/>
    </row>
    <row r="1195" spans="4:4">
      <c r="D1195" s="1"/>
    </row>
    <row r="1196" spans="4:4">
      <c r="D1196" s="1"/>
    </row>
    <row r="1197" spans="4:4">
      <c r="D1197" s="1"/>
    </row>
    <row r="1198" spans="4:4">
      <c r="D1198" s="1"/>
    </row>
    <row r="1199" spans="4:4">
      <c r="D1199" s="1"/>
    </row>
    <row r="1200" spans="4:4">
      <c r="D1200" s="1"/>
    </row>
    <row r="1201" spans="4:4">
      <c r="D1201" s="1"/>
    </row>
    <row r="1202" spans="4:4">
      <c r="D1202" s="1"/>
    </row>
    <row r="1203" spans="4:4">
      <c r="D1203" s="1"/>
    </row>
    <row r="1204" spans="4:4">
      <c r="D1204" s="1"/>
    </row>
    <row r="1205" spans="4:4">
      <c r="D1205" s="1"/>
    </row>
    <row r="1206" spans="4:4">
      <c r="D1206" s="1"/>
    </row>
    <row r="1207" spans="4:4">
      <c r="D1207" s="1"/>
    </row>
    <row r="1208" spans="4:4">
      <c r="D1208" s="1"/>
    </row>
    <row r="1209" spans="4:4">
      <c r="D1209" s="1"/>
    </row>
    <row r="1210" spans="4:4">
      <c r="D1210" s="1"/>
    </row>
    <row r="1211" spans="4:4">
      <c r="D1211" s="1"/>
    </row>
    <row r="1212" spans="4:4">
      <c r="D1212" s="1"/>
    </row>
    <row r="1213" spans="4:4">
      <c r="D1213" s="1"/>
    </row>
    <row r="1214" spans="4:4">
      <c r="D1214" s="1"/>
    </row>
    <row r="1215" spans="4:4">
      <c r="D1215" s="1"/>
    </row>
    <row r="1216" spans="4:4">
      <c r="D1216" s="1"/>
    </row>
    <row r="1217" spans="4:4">
      <c r="D1217" s="1"/>
    </row>
    <row r="1218" spans="4:4">
      <c r="D1218" s="1"/>
    </row>
    <row r="1219" spans="4:4">
      <c r="D1219" s="1"/>
    </row>
    <row r="1220" spans="4:4">
      <c r="D1220" s="1"/>
    </row>
    <row r="1221" spans="4:4">
      <c r="D1221" s="1"/>
    </row>
    <row r="1222" spans="4:4">
      <c r="D1222" s="1"/>
    </row>
    <row r="1223" spans="4:4">
      <c r="D1223" s="1"/>
    </row>
    <row r="1224" spans="4:4">
      <c r="D1224" s="1"/>
    </row>
    <row r="1225" spans="4:4">
      <c r="D1225" s="1"/>
    </row>
    <row r="1226" spans="4:4">
      <c r="D1226" s="1"/>
    </row>
    <row r="1227" spans="4:4">
      <c r="D1227" s="1"/>
    </row>
    <row r="1228" spans="4:4">
      <c r="D1228" s="1"/>
    </row>
    <row r="1229" spans="4:4">
      <c r="D1229" s="1"/>
    </row>
    <row r="1230" spans="4:4">
      <c r="D1230" s="1"/>
    </row>
    <row r="1231" spans="4:4">
      <c r="D1231" s="1"/>
    </row>
    <row r="1232" spans="4:4">
      <c r="D1232" s="1"/>
    </row>
    <row r="1233" spans="4:4">
      <c r="D1233" s="1"/>
    </row>
    <row r="1234" spans="4:4">
      <c r="D1234" s="1"/>
    </row>
    <row r="1235" spans="4:4">
      <c r="D1235" s="1"/>
    </row>
    <row r="1236" spans="4:4">
      <c r="D1236" s="1"/>
    </row>
    <row r="1237" spans="4:4">
      <c r="D1237" s="1"/>
    </row>
    <row r="1238" spans="4:4">
      <c r="D1238" s="1"/>
    </row>
    <row r="1239" spans="4:4">
      <c r="D1239" s="1"/>
    </row>
    <row r="1240" spans="4:4">
      <c r="D1240" s="1"/>
    </row>
    <row r="1241" spans="4:4">
      <c r="D1241" s="1"/>
    </row>
    <row r="1242" spans="4:4">
      <c r="D1242" s="1"/>
    </row>
    <row r="1243" spans="4:4">
      <c r="D1243" s="1"/>
    </row>
    <row r="1244" spans="4:4">
      <c r="D1244" s="1"/>
    </row>
    <row r="1245" spans="4:4">
      <c r="D1245" s="1"/>
    </row>
    <row r="1246" spans="4:4">
      <c r="D1246" s="1"/>
    </row>
    <row r="1247" spans="4:4">
      <c r="D1247" s="1"/>
    </row>
    <row r="1248" spans="4:4">
      <c r="D1248" s="1"/>
    </row>
    <row r="1249" spans="4:4">
      <c r="D1249" s="1"/>
    </row>
    <row r="1250" spans="4:4">
      <c r="D1250" s="1"/>
    </row>
    <row r="1251" spans="4:4">
      <c r="D1251" s="1"/>
    </row>
    <row r="1252" spans="4:4">
      <c r="D1252" s="1"/>
    </row>
    <row r="1253" spans="4:4">
      <c r="D1253" s="1"/>
    </row>
    <row r="1254" spans="4:4">
      <c r="D1254" s="1"/>
    </row>
    <row r="1255" spans="4:4">
      <c r="D1255" s="1"/>
    </row>
    <row r="1256" spans="4:4">
      <c r="D1256" s="1"/>
    </row>
    <row r="1257" spans="4:4">
      <c r="D1257" s="1"/>
    </row>
    <row r="1258" spans="4:4">
      <c r="D1258" s="1"/>
    </row>
    <row r="1259" spans="4:4">
      <c r="D1259" s="1"/>
    </row>
    <row r="1260" spans="4:4">
      <c r="D1260" s="1"/>
    </row>
    <row r="1261" spans="4:4">
      <c r="D1261" s="1"/>
    </row>
    <row r="1262" spans="4:4">
      <c r="D1262" s="1"/>
    </row>
    <row r="1263" spans="4:4">
      <c r="D1263" s="1"/>
    </row>
    <row r="1264" spans="4:4">
      <c r="D1264" s="1"/>
    </row>
    <row r="1265" spans="4:4">
      <c r="D1265" s="1"/>
    </row>
    <row r="1266" spans="4:4">
      <c r="D1266" s="1"/>
    </row>
    <row r="1267" spans="4:4">
      <c r="D1267" s="1"/>
    </row>
    <row r="1268" spans="4:4">
      <c r="D1268" s="1"/>
    </row>
    <row r="1269" spans="4:4">
      <c r="D1269" s="1"/>
    </row>
    <row r="1270" spans="4:4">
      <c r="D1270" s="1"/>
    </row>
    <row r="1271" spans="4:4">
      <c r="D1271" s="1"/>
    </row>
    <row r="1272" spans="4:4">
      <c r="D1272" s="1"/>
    </row>
    <row r="1273" spans="4:4">
      <c r="D1273" s="1"/>
    </row>
    <row r="1274" spans="4:4">
      <c r="D1274" s="1"/>
    </row>
    <row r="1275" spans="4:4">
      <c r="D1275" s="1"/>
    </row>
    <row r="1276" spans="4:4">
      <c r="D1276" s="1"/>
    </row>
    <row r="1277" spans="4:4">
      <c r="D1277" s="1"/>
    </row>
    <row r="1278" spans="4:4">
      <c r="D1278" s="1"/>
    </row>
    <row r="1279" spans="4:4">
      <c r="D1279" s="1"/>
    </row>
    <row r="1280" spans="4:4">
      <c r="D1280" s="1"/>
    </row>
    <row r="1281" spans="4:4">
      <c r="D1281" s="1"/>
    </row>
    <row r="1282" spans="4:4">
      <c r="D1282" s="1"/>
    </row>
    <row r="1283" spans="4:4">
      <c r="D1283" s="1"/>
    </row>
    <row r="1284" spans="4:4">
      <c r="D1284" s="1"/>
    </row>
    <row r="1285" spans="4:4">
      <c r="D1285" s="1"/>
    </row>
    <row r="1286" spans="4:4">
      <c r="D1286" s="1"/>
    </row>
    <row r="1287" spans="4:4">
      <c r="D1287" s="1"/>
    </row>
    <row r="1288" spans="4:4">
      <c r="D1288" s="1"/>
    </row>
    <row r="1289" spans="4:4">
      <c r="D1289" s="1"/>
    </row>
    <row r="1290" spans="4:4">
      <c r="D1290" s="1"/>
    </row>
    <row r="1291" spans="4:4">
      <c r="D1291" s="1"/>
    </row>
    <row r="1292" spans="4:4">
      <c r="D1292" s="1"/>
    </row>
    <row r="1293" spans="4:4">
      <c r="D1293" s="1"/>
    </row>
    <row r="1294" spans="4:4">
      <c r="D1294" s="1"/>
    </row>
    <row r="1295" spans="4:4">
      <c r="D1295" s="1"/>
    </row>
    <row r="1296" spans="4:4">
      <c r="D1296" s="1"/>
    </row>
    <row r="1297" spans="4:4">
      <c r="D1297" s="1"/>
    </row>
    <row r="1298" spans="4:4">
      <c r="D1298" s="1"/>
    </row>
    <row r="1299" spans="4:4">
      <c r="D1299" s="1"/>
    </row>
    <row r="1300" spans="4:4">
      <c r="D1300" s="1"/>
    </row>
    <row r="1301" spans="4:4">
      <c r="D1301" s="1"/>
    </row>
    <row r="1302" spans="4:4">
      <c r="D1302" s="1"/>
    </row>
    <row r="1303" spans="4:4">
      <c r="D1303" s="1"/>
    </row>
    <row r="1304" spans="4:4">
      <c r="D1304" s="1"/>
    </row>
    <row r="1305" spans="4:4">
      <c r="D1305" s="1"/>
    </row>
    <row r="1306" spans="4:4">
      <c r="D1306" s="1"/>
    </row>
    <row r="1307" spans="4:4">
      <c r="D1307" s="1"/>
    </row>
    <row r="1308" spans="4:4">
      <c r="D1308" s="1"/>
    </row>
    <row r="1309" spans="4:4">
      <c r="D1309" s="1"/>
    </row>
    <row r="1310" spans="4:4">
      <c r="D1310" s="1"/>
    </row>
    <row r="1311" spans="4:4">
      <c r="D1311" s="1"/>
    </row>
    <row r="1312" spans="4:4">
      <c r="D1312" s="1"/>
    </row>
    <row r="1313" spans="4:4">
      <c r="D1313" s="1"/>
    </row>
    <row r="1314" spans="4:4">
      <c r="D1314" s="1"/>
    </row>
    <row r="1315" spans="4:4">
      <c r="D1315" s="1"/>
    </row>
    <row r="1316" spans="4:4">
      <c r="D1316" s="1"/>
    </row>
    <row r="1317" spans="4:4">
      <c r="D1317" s="1"/>
    </row>
    <row r="1318" spans="4:4">
      <c r="D1318" s="1"/>
    </row>
    <row r="1319" spans="4:4">
      <c r="D1319" s="1"/>
    </row>
    <row r="1320" spans="4:4">
      <c r="D1320" s="1"/>
    </row>
    <row r="1321" spans="4:4">
      <c r="D1321" s="1"/>
    </row>
    <row r="1322" spans="4:4">
      <c r="D1322" s="1"/>
    </row>
    <row r="1323" spans="4:4">
      <c r="D1323" s="1"/>
    </row>
    <row r="1324" spans="4:4">
      <c r="D1324" s="1"/>
    </row>
    <row r="1325" spans="4:4">
      <c r="D1325" s="1"/>
    </row>
    <row r="1326" spans="4:4">
      <c r="D1326" s="1"/>
    </row>
    <row r="1327" spans="4:4">
      <c r="D1327" s="1"/>
    </row>
    <row r="1328" spans="4:4">
      <c r="D1328" s="1"/>
    </row>
    <row r="1329" spans="4:4">
      <c r="D1329" s="1"/>
    </row>
    <row r="1330" spans="4:4">
      <c r="D1330" s="1"/>
    </row>
    <row r="1331" spans="4:4">
      <c r="D1331" s="1"/>
    </row>
    <row r="1332" spans="4:4">
      <c r="D1332" s="1"/>
    </row>
    <row r="1333" spans="4:4">
      <c r="D1333" s="1"/>
    </row>
    <row r="1334" spans="4:4">
      <c r="D1334" s="1"/>
    </row>
    <row r="1335" spans="4:4">
      <c r="D1335" s="1"/>
    </row>
    <row r="1336" spans="4:4">
      <c r="D1336" s="1"/>
    </row>
    <row r="1337" spans="4:4">
      <c r="D1337" s="1"/>
    </row>
    <row r="1338" spans="4:4">
      <c r="D1338" s="1"/>
    </row>
    <row r="1339" spans="4:4">
      <c r="D1339" s="1"/>
    </row>
    <row r="1340" spans="4:4">
      <c r="D1340" s="1"/>
    </row>
    <row r="1341" spans="4:4">
      <c r="D1341" s="1"/>
    </row>
    <row r="1342" spans="4:4">
      <c r="D1342" s="1"/>
    </row>
    <row r="1343" spans="4:4">
      <c r="D1343" s="1"/>
    </row>
    <row r="1344" spans="4:4">
      <c r="D1344" s="1"/>
    </row>
    <row r="1345" spans="4:4">
      <c r="D1345" s="1"/>
    </row>
    <row r="1346" spans="4:4">
      <c r="D1346" s="1"/>
    </row>
    <row r="1347" spans="4:4">
      <c r="D1347" s="1"/>
    </row>
    <row r="1348" spans="4:4">
      <c r="D1348" s="1"/>
    </row>
    <row r="1349" spans="4:4">
      <c r="D1349" s="1"/>
    </row>
    <row r="1350" spans="4:4">
      <c r="D1350" s="1"/>
    </row>
    <row r="1351" spans="4:4">
      <c r="D1351" s="1"/>
    </row>
    <row r="1352" spans="4:4">
      <c r="D1352" s="1"/>
    </row>
    <row r="1353" spans="4:4">
      <c r="D1353" s="1"/>
    </row>
    <row r="1354" spans="4:4">
      <c r="D1354" s="1"/>
    </row>
    <row r="1355" spans="4:4">
      <c r="D1355" s="1"/>
    </row>
    <row r="1356" spans="4:4">
      <c r="D1356" s="1"/>
    </row>
    <row r="1357" spans="4:4">
      <c r="D1357" s="1"/>
    </row>
    <row r="1358" spans="4:4">
      <c r="D1358" s="1"/>
    </row>
    <row r="1359" spans="4:4">
      <c r="D1359" s="1"/>
    </row>
    <row r="1360" spans="4:4">
      <c r="D1360" s="1"/>
    </row>
    <row r="1361" spans="4:4">
      <c r="D1361" s="1"/>
    </row>
    <row r="1362" spans="4:4">
      <c r="D1362" s="1"/>
    </row>
    <row r="1363" spans="4:4">
      <c r="D1363" s="1"/>
    </row>
    <row r="1364" spans="4:4">
      <c r="D1364" s="1"/>
    </row>
    <row r="1365" spans="4:4">
      <c r="D1365" s="1"/>
    </row>
    <row r="1366" spans="4:4">
      <c r="D1366" s="1"/>
    </row>
    <row r="1367" spans="4:4">
      <c r="D1367" s="1"/>
    </row>
    <row r="1368" spans="4:4">
      <c r="D1368" s="1"/>
    </row>
    <row r="1369" spans="4:4">
      <c r="D1369" s="1"/>
    </row>
    <row r="1370" spans="4:4">
      <c r="D1370" s="1"/>
    </row>
    <row r="1371" spans="4:4">
      <c r="D1371" s="1"/>
    </row>
    <row r="1372" spans="4:4">
      <c r="D1372" s="1"/>
    </row>
    <row r="1373" spans="4:4">
      <c r="D1373" s="1"/>
    </row>
    <row r="1374" spans="4:4">
      <c r="D1374" s="1"/>
    </row>
    <row r="1375" spans="4:4">
      <c r="D1375" s="1"/>
    </row>
    <row r="1376" spans="4:4">
      <c r="D1376" s="1"/>
    </row>
    <row r="1377" spans="4:4">
      <c r="D1377" s="1"/>
    </row>
    <row r="1378" spans="4:4">
      <c r="D1378" s="1"/>
    </row>
    <row r="1379" spans="4:4">
      <c r="D1379" s="1"/>
    </row>
    <row r="1380" spans="4:4">
      <c r="D1380" s="1"/>
    </row>
    <row r="1381" spans="4:4">
      <c r="D1381" s="1"/>
    </row>
    <row r="1382" spans="4:4">
      <c r="D1382" s="1"/>
    </row>
    <row r="1383" spans="4:4">
      <c r="D1383" s="1"/>
    </row>
    <row r="1384" spans="4:4">
      <c r="D1384" s="1"/>
    </row>
    <row r="1385" spans="4:4">
      <c r="D1385" s="1"/>
    </row>
    <row r="1386" spans="4:4">
      <c r="D1386" s="1"/>
    </row>
    <row r="1387" spans="4:4">
      <c r="D1387" s="1"/>
    </row>
    <row r="1388" spans="4:4">
      <c r="D1388" s="1"/>
    </row>
    <row r="1389" spans="4:4">
      <c r="D1389" s="1"/>
    </row>
    <row r="1390" spans="4:4">
      <c r="D1390" s="1"/>
    </row>
    <row r="1391" spans="4:4">
      <c r="D1391" s="1"/>
    </row>
    <row r="1392" spans="4:4">
      <c r="D1392" s="1"/>
    </row>
    <row r="1393" spans="4:4">
      <c r="D1393" s="1"/>
    </row>
    <row r="1394" spans="4:4">
      <c r="D1394" s="1"/>
    </row>
    <row r="1395" spans="4:4">
      <c r="D1395" s="1"/>
    </row>
    <row r="1396" spans="4:4">
      <c r="D1396" s="1"/>
    </row>
    <row r="1397" spans="4:4">
      <c r="D1397" s="1"/>
    </row>
    <row r="1398" spans="4:4">
      <c r="D1398" s="1"/>
    </row>
    <row r="1399" spans="4:4">
      <c r="D1399" s="1"/>
    </row>
    <row r="1400" spans="4:4">
      <c r="D1400" s="1"/>
    </row>
    <row r="1401" spans="4:4">
      <c r="D1401" s="1"/>
    </row>
    <row r="1402" spans="4:4">
      <c r="D1402" s="1"/>
    </row>
    <row r="1403" spans="4:4">
      <c r="D1403" s="1"/>
    </row>
    <row r="1404" spans="4:4">
      <c r="D1404" s="1"/>
    </row>
    <row r="1405" spans="4:4">
      <c r="D1405" s="1"/>
    </row>
    <row r="1406" spans="4:4">
      <c r="D1406" s="1"/>
    </row>
    <row r="1407" spans="4:4">
      <c r="D1407" s="1"/>
    </row>
    <row r="1408" spans="4:4">
      <c r="D1408" s="1"/>
    </row>
    <row r="1409" spans="4:4">
      <c r="D1409" s="1"/>
    </row>
    <row r="1410" spans="4:4">
      <c r="D1410" s="1"/>
    </row>
    <row r="1411" spans="4:4">
      <c r="D1411" s="1"/>
    </row>
    <row r="1412" spans="4:4">
      <c r="D1412" s="1"/>
    </row>
    <row r="1413" spans="4:4">
      <c r="D1413" s="1"/>
    </row>
    <row r="1414" spans="4:4">
      <c r="D1414" s="1"/>
    </row>
    <row r="1415" spans="4:4">
      <c r="D1415" s="1"/>
    </row>
    <row r="1416" spans="4:4">
      <c r="D1416" s="1"/>
    </row>
    <row r="1417" spans="4:4">
      <c r="D1417" s="1"/>
    </row>
    <row r="1418" spans="4:4">
      <c r="D1418" s="1"/>
    </row>
    <row r="1419" spans="4:4">
      <c r="D1419" s="1"/>
    </row>
    <row r="1420" spans="4:4">
      <c r="D1420" s="1"/>
    </row>
    <row r="1421" spans="4:4">
      <c r="D1421" s="1"/>
    </row>
    <row r="1422" spans="4:4">
      <c r="D1422" s="1"/>
    </row>
    <row r="1423" spans="4:4">
      <c r="D1423" s="1"/>
    </row>
    <row r="1424" spans="4:4">
      <c r="D1424" s="1"/>
    </row>
    <row r="1425" spans="4:4">
      <c r="D1425" s="1"/>
    </row>
    <row r="1426" spans="4:4">
      <c r="D1426" s="1"/>
    </row>
    <row r="1427" spans="4:4">
      <c r="D1427" s="1"/>
    </row>
    <row r="1428" spans="4:4">
      <c r="D1428" s="1"/>
    </row>
    <row r="1429" spans="4:4">
      <c r="D1429" s="1"/>
    </row>
    <row r="1430" spans="4:4">
      <c r="D1430" s="1"/>
    </row>
    <row r="1431" spans="4:4">
      <c r="D1431" s="1"/>
    </row>
    <row r="1432" spans="4:4">
      <c r="D1432" s="1"/>
    </row>
    <row r="1433" spans="4:4">
      <c r="D1433" s="1"/>
    </row>
    <row r="1434" spans="4:4">
      <c r="D1434" s="1"/>
    </row>
    <row r="1435" spans="4:4">
      <c r="D1435" s="1"/>
    </row>
    <row r="1436" spans="4:4">
      <c r="D1436" s="1"/>
    </row>
    <row r="1437" spans="4:4">
      <c r="D1437" s="1"/>
    </row>
    <row r="1438" spans="4:4">
      <c r="D1438" s="1"/>
    </row>
    <row r="1439" spans="4:4">
      <c r="D1439" s="1"/>
    </row>
    <row r="1440" spans="4:4">
      <c r="D1440" s="1"/>
    </row>
    <row r="1441" spans="4:4">
      <c r="D1441" s="1"/>
    </row>
    <row r="1442" spans="4:4">
      <c r="D1442" s="1"/>
    </row>
    <row r="1443" spans="4:4">
      <c r="D1443" s="1"/>
    </row>
    <row r="1444" spans="4:4">
      <c r="D1444" s="1"/>
    </row>
    <row r="1445" spans="4:4">
      <c r="D1445" s="1"/>
    </row>
    <row r="1446" spans="4:4">
      <c r="D1446" s="1"/>
    </row>
    <row r="1447" spans="4:4">
      <c r="D1447" s="1"/>
    </row>
    <row r="1448" spans="4:4">
      <c r="D1448" s="1"/>
    </row>
    <row r="1449" spans="4:4">
      <c r="D1449" s="1"/>
    </row>
    <row r="1450" spans="4:4">
      <c r="D1450" s="1"/>
    </row>
    <row r="1451" spans="4:4">
      <c r="D1451" s="1"/>
    </row>
    <row r="1452" spans="4:4">
      <c r="D1452" s="1"/>
    </row>
    <row r="1453" spans="4:4">
      <c r="D1453" s="1"/>
    </row>
    <row r="1454" spans="4:4">
      <c r="D1454" s="1"/>
    </row>
    <row r="1455" spans="4:4">
      <c r="D1455" s="1"/>
    </row>
    <row r="1456" spans="4:4">
      <c r="D1456" s="1"/>
    </row>
    <row r="1457" spans="4:4">
      <c r="D1457" s="1"/>
    </row>
    <row r="1458" spans="4:4">
      <c r="D1458" s="1"/>
    </row>
    <row r="1459" spans="4:4">
      <c r="D1459" s="1"/>
    </row>
    <row r="1460" spans="4:4">
      <c r="D1460" s="1"/>
    </row>
    <row r="1461" spans="4:4">
      <c r="D1461" s="1"/>
    </row>
    <row r="1462" spans="4:4">
      <c r="D1462" s="1"/>
    </row>
    <row r="1463" spans="4:4">
      <c r="D1463" s="1"/>
    </row>
    <row r="1464" spans="4:4">
      <c r="D1464" s="1"/>
    </row>
    <row r="1465" spans="4:4">
      <c r="D1465" s="1"/>
    </row>
    <row r="1466" spans="4:4">
      <c r="D1466" s="1"/>
    </row>
    <row r="1467" spans="4:4">
      <c r="D1467" s="1"/>
    </row>
    <row r="1468" spans="4:4">
      <c r="D1468" s="1"/>
    </row>
    <row r="1469" spans="4:4">
      <c r="D1469" s="1"/>
    </row>
    <row r="1470" spans="4:4">
      <c r="D1470" s="1"/>
    </row>
    <row r="1471" spans="4:4">
      <c r="D1471" s="1"/>
    </row>
    <row r="1472" spans="4:4">
      <c r="D1472" s="1"/>
    </row>
    <row r="1473" spans="4:4">
      <c r="D1473" s="1"/>
    </row>
    <row r="1474" spans="4:4">
      <c r="D1474" s="1"/>
    </row>
    <row r="1475" spans="4:4">
      <c r="D1475" s="1"/>
    </row>
    <row r="1476" spans="4:4">
      <c r="D1476" s="1"/>
    </row>
    <row r="1477" spans="4:4">
      <c r="D1477" s="1"/>
    </row>
    <row r="1478" spans="4:4">
      <c r="D1478" s="1"/>
    </row>
    <row r="1479" spans="4:4">
      <c r="D1479" s="1"/>
    </row>
    <row r="1480" spans="4:4">
      <c r="D1480" s="1"/>
    </row>
    <row r="1481" spans="4:4">
      <c r="D1481" s="1"/>
    </row>
    <row r="1482" spans="4:4">
      <c r="D1482" s="1"/>
    </row>
    <row r="1483" spans="4:4">
      <c r="D1483" s="1"/>
    </row>
    <row r="1484" spans="4:4">
      <c r="D1484" s="1"/>
    </row>
    <row r="1485" spans="4:4">
      <c r="D1485" s="1"/>
    </row>
    <row r="1486" spans="4:4">
      <c r="D1486" s="1"/>
    </row>
    <row r="1487" spans="4:4">
      <c r="D1487" s="1"/>
    </row>
    <row r="1488" spans="4:4">
      <c r="D1488" s="1"/>
    </row>
    <row r="1489" spans="4:4">
      <c r="D1489" s="1"/>
    </row>
    <row r="1490" spans="4:4">
      <c r="D1490" s="1"/>
    </row>
    <row r="1491" spans="4:4">
      <c r="D1491" s="1"/>
    </row>
    <row r="1492" spans="4:4">
      <c r="D1492" s="1"/>
    </row>
    <row r="1493" spans="4:4">
      <c r="D1493" s="1"/>
    </row>
    <row r="1494" spans="4:4">
      <c r="D1494" s="1"/>
    </row>
    <row r="1495" spans="4:4">
      <c r="D1495" s="1"/>
    </row>
    <row r="1496" spans="4:4">
      <c r="D1496" s="1"/>
    </row>
    <row r="1497" spans="4:4">
      <c r="D1497" s="1"/>
    </row>
    <row r="1498" spans="4:4">
      <c r="D1498" s="1"/>
    </row>
    <row r="1499" spans="4:4">
      <c r="D1499" s="1"/>
    </row>
    <row r="1500" spans="4:4">
      <c r="D1500" s="1"/>
    </row>
    <row r="1501" spans="4:4">
      <c r="D1501" s="1"/>
    </row>
    <row r="1502" spans="4:4">
      <c r="D1502" s="1"/>
    </row>
    <row r="1503" spans="4:4">
      <c r="D1503" s="1"/>
    </row>
    <row r="1504" spans="4:4">
      <c r="D1504" s="1"/>
    </row>
    <row r="1505" spans="4:4">
      <c r="D1505" s="1"/>
    </row>
    <row r="1506" spans="4:4">
      <c r="D1506" s="1"/>
    </row>
    <row r="1507" spans="4:4">
      <c r="D1507" s="1"/>
    </row>
    <row r="1508" spans="4:4">
      <c r="D1508" s="1"/>
    </row>
    <row r="1509" spans="4:4">
      <c r="D1509" s="1"/>
    </row>
    <row r="1510" spans="4:4">
      <c r="D1510" s="1"/>
    </row>
    <row r="1511" spans="4:4">
      <c r="D1511" s="1"/>
    </row>
    <row r="1512" spans="4:4">
      <c r="D1512" s="1"/>
    </row>
    <row r="1513" spans="4:4">
      <c r="D1513" s="1"/>
    </row>
    <row r="1514" spans="4:4">
      <c r="D1514" s="1"/>
    </row>
    <row r="1515" spans="4:4">
      <c r="D1515" s="1"/>
    </row>
    <row r="1516" spans="4:4">
      <c r="D1516" s="1"/>
    </row>
    <row r="1517" spans="4:4">
      <c r="D1517" s="1"/>
    </row>
    <row r="1518" spans="4:4">
      <c r="D1518" s="1"/>
    </row>
    <row r="1519" spans="4:4">
      <c r="D1519" s="1"/>
    </row>
    <row r="1520" spans="4:4">
      <c r="D1520" s="1"/>
    </row>
    <row r="1521" spans="4:4">
      <c r="D1521" s="1"/>
    </row>
    <row r="1522" spans="4:4">
      <c r="D1522" s="1"/>
    </row>
    <row r="1523" spans="4:4">
      <c r="D1523" s="1"/>
    </row>
    <row r="1524" spans="4:4">
      <c r="D1524" s="1"/>
    </row>
    <row r="1525" spans="4:4">
      <c r="D1525" s="1"/>
    </row>
    <row r="1526" spans="4:4">
      <c r="D1526" s="1"/>
    </row>
    <row r="1527" spans="4:4">
      <c r="D1527" s="1"/>
    </row>
    <row r="1528" spans="4:4">
      <c r="D1528" s="1"/>
    </row>
    <row r="1529" spans="4:4">
      <c r="D1529" s="1"/>
    </row>
    <row r="1530" spans="4:4">
      <c r="D1530" s="1"/>
    </row>
    <row r="1531" spans="4:4">
      <c r="D1531" s="1"/>
    </row>
    <row r="1532" spans="4:4">
      <c r="D1532" s="1"/>
    </row>
    <row r="1533" spans="4:4">
      <c r="D1533" s="1"/>
    </row>
    <row r="1534" spans="4:4">
      <c r="D1534" s="1"/>
    </row>
    <row r="1535" spans="4:4">
      <c r="D1535" s="1"/>
    </row>
    <row r="1536" spans="4:4">
      <c r="D1536" s="1"/>
    </row>
    <row r="1537" spans="4:4">
      <c r="D1537" s="1"/>
    </row>
    <row r="1538" spans="4:4">
      <c r="D1538" s="1"/>
    </row>
    <row r="1539" spans="4:4">
      <c r="D1539" s="1"/>
    </row>
    <row r="1540" spans="4:4">
      <c r="D1540" s="1"/>
    </row>
    <row r="1541" spans="4:4">
      <c r="D1541" s="1"/>
    </row>
    <row r="1542" spans="4:4">
      <c r="D1542" s="1"/>
    </row>
    <row r="1543" spans="4:4">
      <c r="D1543" s="1"/>
    </row>
    <row r="1544" spans="4:4">
      <c r="D1544" s="1"/>
    </row>
    <row r="1545" spans="4:4">
      <c r="D1545" s="1"/>
    </row>
    <row r="1546" spans="4:4">
      <c r="D1546" s="1"/>
    </row>
    <row r="1547" spans="4:4">
      <c r="D1547" s="1"/>
    </row>
    <row r="1548" spans="4:4">
      <c r="D1548" s="1"/>
    </row>
    <row r="1549" spans="4:4">
      <c r="D1549" s="1"/>
    </row>
    <row r="1550" spans="4:4">
      <c r="D1550" s="1"/>
    </row>
    <row r="1551" spans="4:4">
      <c r="D1551" s="1"/>
    </row>
    <row r="1552" spans="4:4">
      <c r="D1552" s="1"/>
    </row>
    <row r="1553" spans="4:4">
      <c r="D1553" s="1"/>
    </row>
    <row r="1554" spans="4:4">
      <c r="D1554" s="1"/>
    </row>
    <row r="1555" spans="4:4">
      <c r="D1555" s="1"/>
    </row>
    <row r="1556" spans="4:4">
      <c r="D1556" s="1"/>
    </row>
    <row r="1557" spans="4:4">
      <c r="D1557" s="1"/>
    </row>
    <row r="1558" spans="4:4">
      <c r="D1558" s="1"/>
    </row>
    <row r="1559" spans="4:4">
      <c r="D1559" s="1"/>
    </row>
    <row r="1560" spans="4:4">
      <c r="D1560" s="1"/>
    </row>
    <row r="1561" spans="4:4">
      <c r="D1561" s="1"/>
    </row>
    <row r="1562" spans="4:4">
      <c r="D1562" s="1"/>
    </row>
    <row r="1563" spans="4:4">
      <c r="D1563" s="1"/>
    </row>
    <row r="1564" spans="4:4">
      <c r="D1564" s="1"/>
    </row>
    <row r="1565" spans="4:4">
      <c r="D1565" s="1"/>
    </row>
    <row r="1566" spans="4:4">
      <c r="D1566" s="1"/>
    </row>
    <row r="1567" spans="4:4">
      <c r="D1567" s="1"/>
    </row>
    <row r="1568" spans="4:4">
      <c r="D1568" s="1"/>
    </row>
    <row r="1569" spans="4:4">
      <c r="D1569" s="1"/>
    </row>
    <row r="1570" spans="4:4">
      <c r="D1570" s="1"/>
    </row>
    <row r="1571" spans="4:4">
      <c r="D1571" s="1"/>
    </row>
    <row r="1572" spans="4:4">
      <c r="D1572" s="1"/>
    </row>
    <row r="1573" spans="4:4">
      <c r="D1573" s="1"/>
    </row>
    <row r="1574" spans="4:4">
      <c r="D1574" s="1"/>
    </row>
    <row r="1575" spans="4:4">
      <c r="D1575" s="1"/>
    </row>
    <row r="1576" spans="4:4">
      <c r="D1576" s="1"/>
    </row>
    <row r="1577" spans="4:4">
      <c r="D1577" s="1"/>
    </row>
    <row r="1578" spans="4:4">
      <c r="D1578" s="1"/>
    </row>
    <row r="1579" spans="4:4">
      <c r="D1579" s="1"/>
    </row>
    <row r="1580" spans="4:4">
      <c r="D1580" s="1"/>
    </row>
    <row r="1581" spans="4:4">
      <c r="D1581" s="1"/>
    </row>
    <row r="1582" spans="4:4">
      <c r="D1582" s="1"/>
    </row>
    <row r="1583" spans="4:4">
      <c r="D1583" s="1"/>
    </row>
    <row r="1584" spans="4:4">
      <c r="D1584" s="1"/>
    </row>
    <row r="1585" spans="4:4">
      <c r="D1585" s="1"/>
    </row>
    <row r="1586" spans="4:4">
      <c r="D1586" s="1"/>
    </row>
    <row r="1587" spans="4:4">
      <c r="D1587" s="1"/>
    </row>
    <row r="1588" spans="4:4">
      <c r="D1588" s="1"/>
    </row>
    <row r="1589" spans="4:4">
      <c r="D1589" s="1"/>
    </row>
    <row r="1590" spans="4:4">
      <c r="D1590" s="1"/>
    </row>
    <row r="1591" spans="4:4">
      <c r="D1591" s="1"/>
    </row>
    <row r="1592" spans="4:4">
      <c r="D1592" s="1"/>
    </row>
    <row r="1593" spans="4:4">
      <c r="D1593" s="1"/>
    </row>
    <row r="1594" spans="4:4">
      <c r="D1594" s="1"/>
    </row>
    <row r="1595" spans="4:4">
      <c r="D1595" s="1"/>
    </row>
    <row r="1596" spans="4:4">
      <c r="D1596" s="1"/>
    </row>
    <row r="1597" spans="4:4">
      <c r="D1597" s="1"/>
    </row>
    <row r="1598" spans="4:4">
      <c r="D1598" s="1"/>
    </row>
    <row r="1599" spans="4:4">
      <c r="D1599" s="1"/>
    </row>
    <row r="1600" spans="4:4">
      <c r="D1600" s="1"/>
    </row>
    <row r="1601" spans="4:4">
      <c r="D1601" s="1"/>
    </row>
    <row r="1602" spans="4:4">
      <c r="D1602" s="1"/>
    </row>
    <row r="1603" spans="4:4">
      <c r="D1603" s="1"/>
    </row>
    <row r="1604" spans="4:4">
      <c r="D1604" s="1"/>
    </row>
    <row r="1605" spans="4:4">
      <c r="D1605" s="1"/>
    </row>
    <row r="1606" spans="4:4">
      <c r="D1606" s="1"/>
    </row>
    <row r="1607" spans="4:4">
      <c r="D1607" s="1"/>
    </row>
    <row r="1608" spans="4:4">
      <c r="D1608" s="1"/>
    </row>
    <row r="1609" spans="4:4">
      <c r="D1609" s="1"/>
    </row>
    <row r="1610" spans="4:4">
      <c r="D1610" s="1"/>
    </row>
    <row r="1611" spans="4:4">
      <c r="D1611" s="1"/>
    </row>
    <row r="1612" spans="4:4">
      <c r="D1612" s="1"/>
    </row>
    <row r="1613" spans="4:4">
      <c r="D1613" s="1"/>
    </row>
    <row r="1614" spans="4:4">
      <c r="D1614" s="1"/>
    </row>
    <row r="1615" spans="4:4">
      <c r="D1615" s="1"/>
    </row>
    <row r="1616" spans="4:4">
      <c r="D1616" s="1"/>
    </row>
    <row r="1617" spans="4:4">
      <c r="D1617" s="1"/>
    </row>
    <row r="1618" spans="4:4">
      <c r="D1618" s="1"/>
    </row>
    <row r="1619" spans="4:4">
      <c r="D1619" s="1"/>
    </row>
    <row r="1620" spans="4:4">
      <c r="D1620" s="1"/>
    </row>
    <row r="1621" spans="4:4">
      <c r="D1621" s="1"/>
    </row>
    <row r="1622" spans="4:4">
      <c r="D1622" s="1"/>
    </row>
    <row r="1623" spans="4:4">
      <c r="D1623" s="1"/>
    </row>
    <row r="1624" spans="4:4">
      <c r="D1624" s="1"/>
    </row>
    <row r="1625" spans="4:4">
      <c r="D1625" s="1"/>
    </row>
    <row r="1626" spans="4:4">
      <c r="D1626" s="1"/>
    </row>
    <row r="1627" spans="4:4">
      <c r="D1627" s="1"/>
    </row>
    <row r="1628" spans="4:4">
      <c r="D1628" s="1"/>
    </row>
    <row r="1629" spans="4:4">
      <c r="D1629" s="1"/>
    </row>
    <row r="1630" spans="4:4">
      <c r="D1630" s="1"/>
    </row>
    <row r="1631" spans="4:4">
      <c r="D1631" s="1"/>
    </row>
    <row r="1632" spans="4:4">
      <c r="D1632" s="1"/>
    </row>
    <row r="1633" spans="4:4">
      <c r="D1633" s="1"/>
    </row>
    <row r="1634" spans="4:4">
      <c r="D1634" s="1"/>
    </row>
    <row r="1635" spans="4:4">
      <c r="D1635" s="1"/>
    </row>
    <row r="1636" spans="4:4">
      <c r="D1636" s="1"/>
    </row>
    <row r="1637" spans="4:4">
      <c r="D1637" s="1"/>
    </row>
    <row r="1638" spans="4:4">
      <c r="D1638" s="1"/>
    </row>
    <row r="1639" spans="4:4">
      <c r="D1639" s="1"/>
    </row>
    <row r="1640" spans="4:4">
      <c r="D1640" s="1"/>
    </row>
    <row r="1641" spans="4:4">
      <c r="D1641" s="1"/>
    </row>
    <row r="1642" spans="4:4">
      <c r="D1642" s="1"/>
    </row>
    <row r="1643" spans="4:4">
      <c r="D1643" s="1"/>
    </row>
    <row r="1644" spans="4:4">
      <c r="D1644" s="1"/>
    </row>
    <row r="1645" spans="4:4">
      <c r="D1645" s="1"/>
    </row>
    <row r="1646" spans="4:4">
      <c r="D1646" s="1"/>
    </row>
    <row r="1647" spans="4:4">
      <c r="D1647" s="1"/>
    </row>
    <row r="1648" spans="4:4">
      <c r="D1648" s="1"/>
    </row>
    <row r="1649" spans="4:4">
      <c r="D1649" s="1"/>
    </row>
    <row r="1650" spans="4:4">
      <c r="D1650" s="1"/>
    </row>
    <row r="1651" spans="4:4">
      <c r="D1651" s="1"/>
    </row>
    <row r="1652" spans="4:4">
      <c r="D1652" s="1"/>
    </row>
    <row r="1653" spans="4:4">
      <c r="D1653" s="1"/>
    </row>
    <row r="1654" spans="4:4">
      <c r="D1654" s="1"/>
    </row>
    <row r="1655" spans="4:4">
      <c r="D1655" s="1"/>
    </row>
    <row r="1656" spans="4:4">
      <c r="D1656" s="1"/>
    </row>
    <row r="1657" spans="4:4">
      <c r="D1657" s="1"/>
    </row>
    <row r="1658" spans="4:4">
      <c r="D1658" s="1"/>
    </row>
    <row r="1659" spans="4:4">
      <c r="D1659" s="1"/>
    </row>
    <row r="1660" spans="4:4">
      <c r="D1660" s="1"/>
    </row>
    <row r="1661" spans="4:4">
      <c r="D1661" s="1"/>
    </row>
    <row r="1662" spans="4:4">
      <c r="D1662" s="1"/>
    </row>
    <row r="1663" spans="4:4">
      <c r="D1663" s="1"/>
    </row>
    <row r="1664" spans="4:4">
      <c r="D1664" s="1"/>
    </row>
    <row r="1665" spans="4:4">
      <c r="D1665" s="1"/>
    </row>
    <row r="1666" spans="4:4">
      <c r="D1666" s="1"/>
    </row>
    <row r="1667" spans="4:4">
      <c r="D1667" s="1"/>
    </row>
    <row r="1668" spans="4:4">
      <c r="D1668" s="1"/>
    </row>
    <row r="1669" spans="4:4">
      <c r="D1669" s="1"/>
    </row>
    <row r="1670" spans="4:4">
      <c r="D1670" s="1"/>
    </row>
    <row r="1671" spans="4:4">
      <c r="D1671" s="1"/>
    </row>
    <row r="1672" spans="4:4">
      <c r="D1672" s="1"/>
    </row>
    <row r="1673" spans="4:4">
      <c r="D1673" s="1"/>
    </row>
    <row r="1674" spans="4:4">
      <c r="D1674" s="1"/>
    </row>
    <row r="1675" spans="4:4">
      <c r="D1675" s="1"/>
    </row>
    <row r="1676" spans="4:4">
      <c r="D1676" s="1"/>
    </row>
    <row r="1677" spans="4:4">
      <c r="D1677" s="1"/>
    </row>
    <row r="1678" spans="4:4">
      <c r="D1678" s="1"/>
    </row>
    <row r="1679" spans="4:4">
      <c r="D1679" s="1"/>
    </row>
    <row r="1680" spans="4:4">
      <c r="D1680" s="1"/>
    </row>
    <row r="1681" spans="4:4">
      <c r="D1681" s="1"/>
    </row>
    <row r="1682" spans="4:4">
      <c r="D1682" s="1"/>
    </row>
    <row r="1683" spans="4:4">
      <c r="D1683" s="1"/>
    </row>
    <row r="1684" spans="4:4">
      <c r="D1684" s="1"/>
    </row>
    <row r="1685" spans="4:4">
      <c r="D1685" s="1"/>
    </row>
    <row r="1686" spans="4:4">
      <c r="D1686" s="1"/>
    </row>
    <row r="1687" spans="4:4">
      <c r="D1687" s="1"/>
    </row>
    <row r="1688" spans="4:4">
      <c r="D1688" s="1"/>
    </row>
    <row r="1689" spans="4:4">
      <c r="D1689" s="1"/>
    </row>
    <row r="1690" spans="4:4">
      <c r="D1690" s="1"/>
    </row>
    <row r="1691" spans="4:4">
      <c r="D1691" s="1"/>
    </row>
    <row r="1692" spans="4:4">
      <c r="D1692" s="1"/>
    </row>
    <row r="1693" spans="4:4">
      <c r="D1693" s="1"/>
    </row>
    <row r="1694" spans="4:4">
      <c r="D1694" s="1"/>
    </row>
    <row r="1695" spans="4:4">
      <c r="D1695" s="1"/>
    </row>
    <row r="1696" spans="4:4">
      <c r="D1696" s="1"/>
    </row>
    <row r="1697" spans="4:4">
      <c r="D1697" s="1"/>
    </row>
    <row r="1698" spans="4:4">
      <c r="D1698" s="1"/>
    </row>
    <row r="1699" spans="4:4">
      <c r="D1699" s="1"/>
    </row>
    <row r="1700" spans="4:4">
      <c r="D1700" s="1"/>
    </row>
    <row r="1701" spans="4:4">
      <c r="D1701" s="1"/>
    </row>
    <row r="1702" spans="4:4">
      <c r="D1702" s="1"/>
    </row>
    <row r="1703" spans="4:4">
      <c r="D1703" s="1"/>
    </row>
    <row r="1704" spans="4:4">
      <c r="D1704" s="1"/>
    </row>
    <row r="1705" spans="4:4">
      <c r="D1705" s="1"/>
    </row>
    <row r="1706" spans="4:4">
      <c r="D1706" s="1"/>
    </row>
    <row r="1707" spans="4:4">
      <c r="D1707" s="1"/>
    </row>
    <row r="1708" spans="4:4">
      <c r="D1708" s="1"/>
    </row>
    <row r="1709" spans="4:4">
      <c r="D1709" s="1"/>
    </row>
    <row r="1710" spans="4:4">
      <c r="D1710" s="1"/>
    </row>
    <row r="1711" spans="4:4">
      <c r="D1711" s="1"/>
    </row>
    <row r="1712" spans="4:4">
      <c r="D1712" s="1"/>
    </row>
    <row r="1713" spans="4:4">
      <c r="D1713" s="1"/>
    </row>
    <row r="1714" spans="4:4">
      <c r="D1714" s="1"/>
    </row>
    <row r="1715" spans="4:4">
      <c r="D1715" s="1"/>
    </row>
    <row r="1716" spans="4:4">
      <c r="D1716" s="1"/>
    </row>
    <row r="1717" spans="4:4">
      <c r="D1717" s="1"/>
    </row>
    <row r="1718" spans="4:4">
      <c r="D1718" s="1"/>
    </row>
    <row r="1719" spans="4:4">
      <c r="D1719" s="1"/>
    </row>
    <row r="1720" spans="4:4">
      <c r="D1720" s="1"/>
    </row>
    <row r="1721" spans="4:4">
      <c r="D1721" s="1"/>
    </row>
    <row r="1722" spans="4:4">
      <c r="D1722" s="1"/>
    </row>
    <row r="1723" spans="4:4">
      <c r="D1723" s="1"/>
    </row>
    <row r="1724" spans="4:4">
      <c r="D1724" s="1"/>
    </row>
    <row r="1725" spans="4:4">
      <c r="D1725" s="1"/>
    </row>
    <row r="1726" spans="4:4">
      <c r="D1726" s="1"/>
    </row>
    <row r="1727" spans="4:4">
      <c r="D1727" s="1"/>
    </row>
    <row r="1728" spans="4:4">
      <c r="D1728" s="1"/>
    </row>
    <row r="1729" spans="4:4">
      <c r="D1729" s="1"/>
    </row>
    <row r="1730" spans="4:4">
      <c r="D1730" s="1"/>
    </row>
    <row r="1731" spans="4:4">
      <c r="D1731" s="1"/>
    </row>
    <row r="1732" spans="4:4">
      <c r="D1732" s="1"/>
    </row>
    <row r="1733" spans="4:4">
      <c r="D1733" s="1"/>
    </row>
    <row r="1734" spans="4:4">
      <c r="D1734" s="1"/>
    </row>
    <row r="1735" spans="4:4">
      <c r="D1735" s="1"/>
    </row>
    <row r="1736" spans="4:4">
      <c r="D1736" s="1"/>
    </row>
    <row r="1737" spans="4:4">
      <c r="D1737" s="1"/>
    </row>
    <row r="1738" spans="4:4">
      <c r="D1738" s="1"/>
    </row>
    <row r="1739" spans="4:4">
      <c r="D1739" s="1"/>
    </row>
    <row r="1740" spans="4:4">
      <c r="D1740" s="1"/>
    </row>
    <row r="1741" spans="4:4">
      <c r="D1741" s="1"/>
    </row>
    <row r="1742" spans="4:4">
      <c r="D1742" s="1"/>
    </row>
    <row r="1743" spans="4:4">
      <c r="D1743" s="1"/>
    </row>
    <row r="1744" spans="4:4">
      <c r="D1744" s="1"/>
    </row>
    <row r="1745" spans="4:4">
      <c r="D1745" s="1"/>
    </row>
    <row r="1746" spans="4:4">
      <c r="D1746" s="1"/>
    </row>
    <row r="1747" spans="4:4">
      <c r="D1747" s="1"/>
    </row>
    <row r="1748" spans="4:4">
      <c r="D1748" s="1"/>
    </row>
    <row r="1749" spans="4:4">
      <c r="D1749" s="1"/>
    </row>
    <row r="1750" spans="4:4">
      <c r="D1750" s="1"/>
    </row>
    <row r="1751" spans="4:4">
      <c r="D1751" s="1"/>
    </row>
    <row r="1752" spans="4:4">
      <c r="D1752" s="1"/>
    </row>
    <row r="1753" spans="4:4">
      <c r="D1753" s="1"/>
    </row>
    <row r="1754" spans="4:4">
      <c r="D1754" s="1"/>
    </row>
    <row r="1755" spans="4:4">
      <c r="D1755" s="1"/>
    </row>
    <row r="1756" spans="4:4">
      <c r="D1756" s="1"/>
    </row>
    <row r="1757" spans="4:4">
      <c r="D1757" s="1"/>
    </row>
    <row r="1758" spans="4:4">
      <c r="D1758" s="1"/>
    </row>
    <row r="1759" spans="4:4">
      <c r="D1759" s="1"/>
    </row>
    <row r="1760" spans="4:4">
      <c r="D1760" s="1"/>
    </row>
    <row r="1761" spans="4:4">
      <c r="D1761" s="1"/>
    </row>
    <row r="1762" spans="4:4">
      <c r="D1762" s="1"/>
    </row>
    <row r="1763" spans="4:4">
      <c r="D1763" s="1"/>
    </row>
    <row r="1764" spans="4:4">
      <c r="D1764" s="1"/>
    </row>
    <row r="1765" spans="4:4">
      <c r="D1765" s="1"/>
    </row>
    <row r="1766" spans="4:4">
      <c r="D1766" s="1"/>
    </row>
    <row r="1767" spans="4:4">
      <c r="D1767" s="1"/>
    </row>
    <row r="1768" spans="4:4">
      <c r="D1768" s="1"/>
    </row>
    <row r="1769" spans="4:4">
      <c r="D1769" s="1"/>
    </row>
    <row r="1770" spans="4:4">
      <c r="D1770" s="1"/>
    </row>
    <row r="1771" spans="4:4">
      <c r="D1771" s="1"/>
    </row>
    <row r="1772" spans="4:4">
      <c r="D1772" s="1"/>
    </row>
    <row r="1773" spans="4:4">
      <c r="D1773" s="1"/>
    </row>
    <row r="1774" spans="4:4">
      <c r="D1774" s="1"/>
    </row>
    <row r="1775" spans="4:4">
      <c r="D1775" s="1"/>
    </row>
    <row r="1776" spans="4:4">
      <c r="D1776" s="1"/>
    </row>
    <row r="1777" spans="4:4">
      <c r="D1777" s="1"/>
    </row>
    <row r="1778" spans="4:4">
      <c r="D1778" s="1"/>
    </row>
    <row r="1779" spans="4:4">
      <c r="D1779" s="1"/>
    </row>
    <row r="1780" spans="4:4">
      <c r="D1780" s="1"/>
    </row>
    <row r="1781" spans="4:4">
      <c r="D1781" s="1"/>
    </row>
    <row r="1782" spans="4:4">
      <c r="D1782" s="1"/>
    </row>
    <row r="1783" spans="4:4">
      <c r="D1783" s="1"/>
    </row>
    <row r="1784" spans="4:4">
      <c r="D1784" s="1"/>
    </row>
    <row r="1785" spans="4:4">
      <c r="D1785" s="1"/>
    </row>
    <row r="1786" spans="4:4">
      <c r="D1786" s="1"/>
    </row>
    <row r="1787" spans="4:4">
      <c r="D1787" s="1"/>
    </row>
    <row r="1788" spans="4:4">
      <c r="D1788" s="1"/>
    </row>
    <row r="1789" spans="4:4">
      <c r="D1789" s="1"/>
    </row>
    <row r="1790" spans="4:4">
      <c r="D1790" s="1"/>
    </row>
    <row r="1791" spans="4:4">
      <c r="D1791" s="1"/>
    </row>
    <row r="1792" spans="4:4">
      <c r="D1792" s="1"/>
    </row>
    <row r="1793" spans="4:4">
      <c r="D1793" s="1"/>
    </row>
    <row r="1794" spans="4:4">
      <c r="D1794" s="1"/>
    </row>
    <row r="1795" spans="4:4">
      <c r="D1795" s="1"/>
    </row>
    <row r="1796" spans="4:4">
      <c r="D1796" s="1"/>
    </row>
    <row r="1797" spans="4:4">
      <c r="D1797" s="1"/>
    </row>
    <row r="1798" spans="4:4">
      <c r="D1798" s="1"/>
    </row>
    <row r="1799" spans="4:4">
      <c r="D1799" s="1"/>
    </row>
    <row r="1800" spans="4:4">
      <c r="D1800" s="1"/>
    </row>
    <row r="1801" spans="4:4">
      <c r="D1801" s="1"/>
    </row>
    <row r="1802" spans="4:4">
      <c r="D1802" s="1"/>
    </row>
    <row r="1803" spans="4:4">
      <c r="D1803" s="1"/>
    </row>
    <row r="1804" spans="4:4">
      <c r="D1804" s="1"/>
    </row>
    <row r="1805" spans="4:4">
      <c r="D1805" s="1"/>
    </row>
    <row r="1806" spans="4:4">
      <c r="D1806" s="1"/>
    </row>
    <row r="1807" spans="4:4">
      <c r="D1807" s="1"/>
    </row>
    <row r="1808" spans="4:4">
      <c r="D1808" s="1"/>
    </row>
    <row r="1809" spans="4:4">
      <c r="D1809" s="1"/>
    </row>
    <row r="1810" spans="4:4">
      <c r="D1810" s="1"/>
    </row>
    <row r="1811" spans="4:4">
      <c r="D1811" s="1"/>
    </row>
    <row r="1812" spans="4:4">
      <c r="D1812" s="1"/>
    </row>
    <row r="1813" spans="4:4">
      <c r="D1813" s="1"/>
    </row>
    <row r="1814" spans="4:4">
      <c r="D1814" s="1"/>
    </row>
    <row r="1815" spans="4:4">
      <c r="D1815" s="1"/>
    </row>
    <row r="1816" spans="4:4">
      <c r="D1816" s="1"/>
    </row>
    <row r="1817" spans="4:4">
      <c r="D1817" s="1"/>
    </row>
    <row r="1818" spans="4:4">
      <c r="D1818" s="1"/>
    </row>
    <row r="1819" spans="4:4">
      <c r="D1819" s="1"/>
    </row>
    <row r="1820" spans="4:4">
      <c r="D1820" s="1"/>
    </row>
    <row r="1821" spans="4:4">
      <c r="D1821" s="1"/>
    </row>
    <row r="1822" spans="4:4">
      <c r="D1822" s="1"/>
    </row>
    <row r="1823" spans="4:4">
      <c r="D1823" s="1"/>
    </row>
    <row r="1824" spans="4:4">
      <c r="D1824" s="1"/>
    </row>
    <row r="1825" spans="4:4">
      <c r="D1825" s="1"/>
    </row>
    <row r="1826" spans="4:4">
      <c r="D1826" s="1"/>
    </row>
    <row r="1827" spans="4:4">
      <c r="D1827" s="1"/>
    </row>
    <row r="1828" spans="4:4">
      <c r="D1828" s="1"/>
    </row>
    <row r="1829" spans="4:4">
      <c r="D1829" s="1"/>
    </row>
    <row r="1830" spans="4:4">
      <c r="D1830" s="1"/>
    </row>
    <row r="1831" spans="4:4">
      <c r="D1831" s="1"/>
    </row>
    <row r="1832" spans="4:4">
      <c r="D1832" s="1"/>
    </row>
    <row r="1833" spans="4:4">
      <c r="D1833" s="1"/>
    </row>
    <row r="1834" spans="4:4">
      <c r="D1834" s="1"/>
    </row>
    <row r="1835" spans="4:4">
      <c r="D1835" s="1"/>
    </row>
    <row r="1836" spans="4:4">
      <c r="D1836" s="1"/>
    </row>
    <row r="1837" spans="4:4">
      <c r="D1837" s="1"/>
    </row>
    <row r="1838" spans="4:4">
      <c r="D1838" s="1"/>
    </row>
    <row r="1839" spans="4:4">
      <c r="D1839" s="1"/>
    </row>
    <row r="1840" spans="4:4">
      <c r="D1840" s="1"/>
    </row>
    <row r="1841" spans="4:4">
      <c r="D1841" s="1"/>
    </row>
    <row r="1842" spans="4:4">
      <c r="D1842" s="1"/>
    </row>
    <row r="1843" spans="4:4">
      <c r="D1843" s="1"/>
    </row>
    <row r="1844" spans="4:4">
      <c r="D1844" s="1"/>
    </row>
    <row r="1845" spans="4:4">
      <c r="D1845" s="1"/>
    </row>
    <row r="1846" spans="4:4">
      <c r="D1846" s="1"/>
    </row>
    <row r="1847" spans="4:4">
      <c r="D1847" s="1"/>
    </row>
    <row r="1848" spans="4:4">
      <c r="D1848" s="1"/>
    </row>
    <row r="1849" spans="4:4">
      <c r="D1849" s="1"/>
    </row>
    <row r="1850" spans="4:4">
      <c r="D1850" s="1"/>
    </row>
    <row r="1851" spans="4:4">
      <c r="D1851" s="1"/>
    </row>
    <row r="1852" spans="4:4">
      <c r="D1852" s="1"/>
    </row>
    <row r="1853" spans="4:4">
      <c r="D1853" s="1"/>
    </row>
    <row r="1854" spans="4:4">
      <c r="D1854" s="1"/>
    </row>
    <row r="1855" spans="4:4">
      <c r="D1855" s="1"/>
    </row>
    <row r="1856" spans="4:4">
      <c r="D1856" s="1"/>
    </row>
    <row r="1857" spans="4:4">
      <c r="D1857" s="1"/>
    </row>
    <row r="1858" spans="4:4">
      <c r="D1858" s="1"/>
    </row>
    <row r="1859" spans="4:4">
      <c r="D1859" s="1"/>
    </row>
    <row r="1860" spans="4:4">
      <c r="D1860" s="1"/>
    </row>
    <row r="1861" spans="4:4">
      <c r="D1861" s="1"/>
    </row>
    <row r="1862" spans="4:4">
      <c r="D1862" s="1"/>
    </row>
    <row r="1863" spans="4:4">
      <c r="D1863" s="1"/>
    </row>
    <row r="1864" spans="4:4">
      <c r="D1864" s="1"/>
    </row>
    <row r="1865" spans="4:4">
      <c r="D1865" s="1"/>
    </row>
    <row r="1866" spans="4:4">
      <c r="D1866" s="1"/>
    </row>
    <row r="1867" spans="4:4">
      <c r="D1867" s="1"/>
    </row>
    <row r="1868" spans="4:4">
      <c r="D1868" s="1"/>
    </row>
    <row r="1869" spans="4:4">
      <c r="D1869" s="1"/>
    </row>
    <row r="1870" spans="4:4">
      <c r="D1870" s="1"/>
    </row>
    <row r="1871" spans="4:4">
      <c r="D1871" s="1"/>
    </row>
    <row r="1872" spans="4:4">
      <c r="D1872" s="1"/>
    </row>
    <row r="1873" spans="4:4">
      <c r="D1873" s="1"/>
    </row>
    <row r="1874" spans="4:4">
      <c r="D1874" s="1"/>
    </row>
    <row r="1875" spans="4:4">
      <c r="D1875" s="1"/>
    </row>
    <row r="1876" spans="4:4">
      <c r="D1876" s="1"/>
    </row>
    <row r="1877" spans="4:4">
      <c r="D1877" s="1"/>
    </row>
    <row r="1878" spans="4:4">
      <c r="D1878" s="1"/>
    </row>
    <row r="1879" spans="4:4">
      <c r="D1879" s="1"/>
    </row>
    <row r="1880" spans="4:4">
      <c r="D1880" s="1"/>
    </row>
    <row r="1881" spans="4:4">
      <c r="D1881" s="1"/>
    </row>
    <row r="1882" spans="4:4">
      <c r="D1882" s="1"/>
    </row>
    <row r="1883" spans="4:4">
      <c r="D1883" s="1"/>
    </row>
    <row r="1884" spans="4:4">
      <c r="D1884" s="1"/>
    </row>
    <row r="1885" spans="4:4">
      <c r="D1885" s="1"/>
    </row>
    <row r="1886" spans="4:4">
      <c r="D1886" s="1"/>
    </row>
    <row r="1887" spans="4:4">
      <c r="D1887" s="1"/>
    </row>
    <row r="1888" spans="4:4">
      <c r="D1888" s="1"/>
    </row>
    <row r="1889" spans="4:4">
      <c r="D1889" s="1"/>
    </row>
    <row r="1890" spans="4:4">
      <c r="D1890" s="1"/>
    </row>
    <row r="1891" spans="4:4">
      <c r="D1891" s="1"/>
    </row>
    <row r="1892" spans="4:4">
      <c r="D1892" s="1"/>
    </row>
    <row r="1893" spans="4:4">
      <c r="D1893" s="1"/>
    </row>
    <row r="1894" spans="4:4">
      <c r="D1894" s="1"/>
    </row>
    <row r="1895" spans="4:4">
      <c r="D1895" s="1"/>
    </row>
    <row r="1896" spans="4:4">
      <c r="D1896" s="1"/>
    </row>
    <row r="1897" spans="4:4">
      <c r="D1897" s="1"/>
    </row>
    <row r="1898" spans="4:4">
      <c r="D1898" s="1"/>
    </row>
    <row r="1899" spans="4:4">
      <c r="D1899" s="1"/>
    </row>
    <row r="1900" spans="4:4">
      <c r="D1900" s="1"/>
    </row>
    <row r="1901" spans="4:4">
      <c r="D1901" s="1"/>
    </row>
    <row r="1902" spans="4:4">
      <c r="D1902" s="1"/>
    </row>
    <row r="1903" spans="4:4">
      <c r="D1903" s="1"/>
    </row>
    <row r="1904" spans="4:4">
      <c r="D1904" s="1"/>
    </row>
    <row r="1905" spans="4:4">
      <c r="D1905" s="1"/>
    </row>
    <row r="1906" spans="4:4">
      <c r="D1906" s="1"/>
    </row>
    <row r="1907" spans="4:4">
      <c r="D1907" s="1"/>
    </row>
    <row r="1908" spans="4:4">
      <c r="D1908" s="1"/>
    </row>
    <row r="1909" spans="4:4">
      <c r="D1909" s="1"/>
    </row>
    <row r="1910" spans="4:4">
      <c r="D1910" s="1"/>
    </row>
    <row r="1911" spans="4:4">
      <c r="D1911" s="1"/>
    </row>
    <row r="1912" spans="4:4">
      <c r="D1912" s="1"/>
    </row>
    <row r="1913" spans="4:4">
      <c r="D1913" s="1"/>
    </row>
    <row r="1914" spans="4:4">
      <c r="D1914" s="1"/>
    </row>
    <row r="1915" spans="4:4">
      <c r="D1915" s="1"/>
    </row>
    <row r="1916" spans="4:4">
      <c r="D1916" s="1"/>
    </row>
    <row r="1917" spans="4:4">
      <c r="D1917" s="1"/>
    </row>
    <row r="1918" spans="4:4">
      <c r="D1918" s="1"/>
    </row>
    <row r="1919" spans="4:4">
      <c r="D1919" s="1"/>
    </row>
    <row r="1920" spans="4:4">
      <c r="D1920" s="1"/>
    </row>
    <row r="1921" spans="4:4">
      <c r="D1921" s="1"/>
    </row>
    <row r="1922" spans="4:4">
      <c r="D1922" s="1"/>
    </row>
    <row r="1923" spans="4:4">
      <c r="D1923" s="1"/>
    </row>
    <row r="1924" spans="4:4">
      <c r="D1924" s="1"/>
    </row>
    <row r="1925" spans="4:4">
      <c r="D1925" s="1"/>
    </row>
    <row r="1926" spans="4:4">
      <c r="D1926" s="1"/>
    </row>
    <row r="1927" spans="4:4">
      <c r="D1927" s="1"/>
    </row>
    <row r="1928" spans="4:4">
      <c r="D1928" s="1"/>
    </row>
    <row r="1929" spans="4:4">
      <c r="D1929" s="1"/>
    </row>
    <row r="1930" spans="4:4">
      <c r="D1930" s="1"/>
    </row>
    <row r="1931" spans="4:4">
      <c r="D1931" s="1"/>
    </row>
    <row r="1932" spans="4:4">
      <c r="D1932" s="1"/>
    </row>
    <row r="1933" spans="4:4">
      <c r="D1933" s="1"/>
    </row>
    <row r="1934" spans="4:4">
      <c r="D1934" s="1"/>
    </row>
    <row r="1935" spans="4:4">
      <c r="D1935" s="1"/>
    </row>
    <row r="1936" spans="4:4">
      <c r="D1936" s="1"/>
    </row>
    <row r="1937" spans="4:4">
      <c r="D1937" s="1"/>
    </row>
    <row r="1938" spans="4:4">
      <c r="D1938" s="1"/>
    </row>
    <row r="1939" spans="4:4">
      <c r="D1939" s="1"/>
    </row>
    <row r="1940" spans="4:4">
      <c r="D1940" s="1"/>
    </row>
    <row r="1941" spans="4:4">
      <c r="D1941" s="1"/>
    </row>
    <row r="1942" spans="4:4">
      <c r="D1942" s="1"/>
    </row>
    <row r="1943" spans="4:4">
      <c r="D1943" s="1"/>
    </row>
    <row r="1944" spans="4:4">
      <c r="D1944" s="1"/>
    </row>
    <row r="1945" spans="4:4">
      <c r="D1945" s="1"/>
    </row>
    <row r="1946" spans="4:4">
      <c r="D1946" s="1"/>
    </row>
    <row r="1947" spans="4:4">
      <c r="D1947" s="1"/>
    </row>
    <row r="1948" spans="4:4">
      <c r="D1948" s="1"/>
    </row>
    <row r="1949" spans="4:4">
      <c r="D1949" s="1"/>
    </row>
    <row r="1950" spans="4:4">
      <c r="D1950" s="1"/>
    </row>
    <row r="1951" spans="4:4">
      <c r="D1951" s="1"/>
    </row>
    <row r="1952" spans="4:4">
      <c r="D1952" s="1"/>
    </row>
    <row r="1953" spans="4:4">
      <c r="D1953" s="1"/>
    </row>
    <row r="1954" spans="4:4">
      <c r="D1954" s="1"/>
    </row>
    <row r="1955" spans="4:4">
      <c r="D1955" s="1"/>
    </row>
    <row r="1956" spans="4:4">
      <c r="D1956" s="1"/>
    </row>
    <row r="1957" spans="4:4">
      <c r="D1957" s="1"/>
    </row>
    <row r="1958" spans="4:4">
      <c r="D1958" s="1"/>
    </row>
    <row r="1959" spans="4:4">
      <c r="D1959" s="1"/>
    </row>
    <row r="1960" spans="4:4">
      <c r="D1960" s="1"/>
    </row>
    <row r="1961" spans="4:4">
      <c r="D1961" s="1"/>
    </row>
    <row r="1962" spans="4:4">
      <c r="D1962" s="1"/>
    </row>
    <row r="1963" spans="4:4">
      <c r="D1963" s="1"/>
    </row>
    <row r="1964" spans="4:4">
      <c r="D1964" s="1"/>
    </row>
    <row r="1965" spans="4:4">
      <c r="D1965" s="1"/>
    </row>
    <row r="1966" spans="4:4">
      <c r="D1966" s="1"/>
    </row>
    <row r="1967" spans="4:4">
      <c r="D1967" s="1"/>
    </row>
    <row r="1968" spans="4:4">
      <c r="D1968" s="1"/>
    </row>
    <row r="1969" spans="4:4">
      <c r="D1969" s="1"/>
    </row>
    <row r="1970" spans="4:4">
      <c r="D1970" s="1"/>
    </row>
    <row r="1971" spans="4:4">
      <c r="D1971" s="1"/>
    </row>
    <row r="1972" spans="4:4">
      <c r="D1972" s="1"/>
    </row>
    <row r="1973" spans="4:4">
      <c r="D1973" s="1"/>
    </row>
    <row r="1974" spans="4:4">
      <c r="D1974" s="1"/>
    </row>
    <row r="1975" spans="4:4">
      <c r="D1975" s="1"/>
    </row>
    <row r="1976" spans="4:4">
      <c r="D1976" s="1"/>
    </row>
    <row r="1977" spans="4:4">
      <c r="D1977" s="1"/>
    </row>
    <row r="1978" spans="4:4">
      <c r="D1978" s="1"/>
    </row>
    <row r="1979" spans="4:4">
      <c r="D1979" s="1"/>
    </row>
    <row r="1980" spans="4:4">
      <c r="D1980" s="1"/>
    </row>
    <row r="1981" spans="4:4">
      <c r="D1981" s="1"/>
    </row>
    <row r="1982" spans="4:4">
      <c r="D1982" s="1"/>
    </row>
    <row r="1983" spans="4:4">
      <c r="D1983" s="1"/>
    </row>
    <row r="1984" spans="4:4">
      <c r="D1984" s="1"/>
    </row>
    <row r="1985" spans="4:4">
      <c r="D1985" s="1"/>
    </row>
    <row r="1986" spans="4:4">
      <c r="D1986" s="1"/>
    </row>
    <row r="1987" spans="4:4">
      <c r="D1987" s="1"/>
    </row>
    <row r="1988" spans="4:4">
      <c r="D1988" s="1"/>
    </row>
    <row r="1989" spans="4:4">
      <c r="D1989" s="1"/>
    </row>
    <row r="1990" spans="4:4">
      <c r="D1990" s="1"/>
    </row>
    <row r="1991" spans="4:4">
      <c r="D1991" s="1"/>
    </row>
    <row r="1992" spans="4:4">
      <c r="D1992" s="1"/>
    </row>
    <row r="1993" spans="4:4">
      <c r="D1993" s="1"/>
    </row>
    <row r="1994" spans="4:4">
      <c r="D1994" s="1"/>
    </row>
    <row r="1995" spans="4:4">
      <c r="D1995" s="1"/>
    </row>
    <row r="1996" spans="4:4">
      <c r="D1996" s="1"/>
    </row>
    <row r="1997" spans="4:4">
      <c r="D1997" s="1"/>
    </row>
    <row r="1998" spans="4:4">
      <c r="D1998" s="1"/>
    </row>
    <row r="1999" spans="4:4">
      <c r="D1999" s="1"/>
    </row>
    <row r="2000" spans="4:4">
      <c r="D2000" s="1"/>
    </row>
    <row r="2001" spans="4:4">
      <c r="D2001" s="1"/>
    </row>
    <row r="2002" spans="4:4">
      <c r="D2002" s="1"/>
    </row>
    <row r="2003" spans="4:4">
      <c r="D2003" s="1"/>
    </row>
    <row r="2004" spans="4:4">
      <c r="D2004" s="1"/>
    </row>
    <row r="2005" spans="4:4">
      <c r="D2005" s="1"/>
    </row>
    <row r="2006" spans="4:4">
      <c r="D2006" s="1"/>
    </row>
    <row r="2007" spans="4:4">
      <c r="D2007" s="1"/>
    </row>
    <row r="2008" spans="4:4">
      <c r="D2008" s="1"/>
    </row>
    <row r="2009" spans="4:4">
      <c r="D2009" s="1"/>
    </row>
    <row r="2010" spans="4:4">
      <c r="D2010" s="1"/>
    </row>
    <row r="2011" spans="4:4">
      <c r="D2011" s="1"/>
    </row>
    <row r="2012" spans="4:4">
      <c r="D2012" s="1"/>
    </row>
    <row r="2013" spans="4:4">
      <c r="D2013" s="1"/>
    </row>
    <row r="2014" spans="4:4">
      <c r="D2014" s="1"/>
    </row>
    <row r="2015" spans="4:4">
      <c r="D2015" s="1"/>
    </row>
    <row r="2016" spans="4:4">
      <c r="D2016" s="1"/>
    </row>
    <row r="2017" spans="4:4">
      <c r="D2017" s="1"/>
    </row>
    <row r="2018" spans="4:4">
      <c r="D2018" s="1"/>
    </row>
    <row r="2019" spans="4:4">
      <c r="D2019" s="1"/>
    </row>
    <row r="2020" spans="4:4">
      <c r="D2020" s="1"/>
    </row>
    <row r="2021" spans="4:4">
      <c r="D2021" s="1"/>
    </row>
    <row r="2022" spans="4:4">
      <c r="D2022" s="1"/>
    </row>
    <row r="2023" spans="4:4">
      <c r="D2023" s="1"/>
    </row>
    <row r="2024" spans="4:4">
      <c r="D2024" s="1"/>
    </row>
    <row r="2025" spans="4:4">
      <c r="D2025" s="1"/>
    </row>
    <row r="2026" spans="4:4">
      <c r="D2026" s="1"/>
    </row>
    <row r="2027" spans="4:4">
      <c r="D2027" s="1"/>
    </row>
    <row r="2028" spans="4:4">
      <c r="D2028" s="1"/>
    </row>
    <row r="2029" spans="4:4">
      <c r="D2029" s="1"/>
    </row>
    <row r="2030" spans="4:4">
      <c r="D2030" s="1"/>
    </row>
    <row r="2031" spans="4:4">
      <c r="D2031" s="1"/>
    </row>
    <row r="2032" spans="4:4">
      <c r="D2032" s="1"/>
    </row>
    <row r="2033" spans="4:4">
      <c r="D2033" s="1"/>
    </row>
    <row r="2034" spans="4:4">
      <c r="D2034" s="1"/>
    </row>
    <row r="2035" spans="4:4">
      <c r="D2035" s="1"/>
    </row>
    <row r="2036" spans="4:4">
      <c r="D2036" s="1"/>
    </row>
    <row r="2037" spans="4:4">
      <c r="D2037" s="1"/>
    </row>
    <row r="2038" spans="4:4">
      <c r="D2038" s="1"/>
    </row>
    <row r="2039" spans="4:4">
      <c r="D2039" s="1"/>
    </row>
    <row r="2040" spans="4:4">
      <c r="D2040" s="1"/>
    </row>
    <row r="2041" spans="4:4">
      <c r="D2041" s="1"/>
    </row>
    <row r="2042" spans="4:4">
      <c r="D2042" s="1"/>
    </row>
    <row r="2043" spans="4:4">
      <c r="D2043" s="1"/>
    </row>
    <row r="2044" spans="4:4">
      <c r="D2044" s="1"/>
    </row>
    <row r="2045" spans="4:4">
      <c r="D2045" s="1"/>
    </row>
    <row r="2046" spans="4:4">
      <c r="D2046" s="1"/>
    </row>
    <row r="2047" spans="4:4">
      <c r="D2047" s="1"/>
    </row>
    <row r="2048" spans="4:4">
      <c r="D2048" s="1"/>
    </row>
    <row r="2049" spans="4:4">
      <c r="D2049" s="1"/>
    </row>
    <row r="2050" spans="4:4">
      <c r="D2050" s="1"/>
    </row>
    <row r="2051" spans="4:4">
      <c r="D2051" s="1"/>
    </row>
    <row r="2052" spans="4:4">
      <c r="D2052" s="1"/>
    </row>
    <row r="2053" spans="4:4">
      <c r="D2053" s="1"/>
    </row>
    <row r="2054" spans="4:4">
      <c r="D2054" s="1"/>
    </row>
    <row r="2055" spans="4:4">
      <c r="D2055" s="1"/>
    </row>
    <row r="2056" spans="4:4">
      <c r="D2056" s="1"/>
    </row>
    <row r="2057" spans="4:4">
      <c r="D2057" s="1"/>
    </row>
    <row r="2058" spans="4:4">
      <c r="D2058" s="1"/>
    </row>
    <row r="2059" spans="4:4">
      <c r="D2059" s="1"/>
    </row>
    <row r="2060" spans="4:4">
      <c r="D2060" s="1"/>
    </row>
    <row r="2061" spans="4:4">
      <c r="D2061" s="1"/>
    </row>
    <row r="2062" spans="4:4">
      <c r="D2062" s="1"/>
    </row>
    <row r="2063" spans="4:4">
      <c r="D2063" s="1"/>
    </row>
    <row r="2064" spans="4:4">
      <c r="D2064" s="1"/>
    </row>
    <row r="2065" spans="4:4">
      <c r="D2065" s="1"/>
    </row>
    <row r="2066" spans="4:4">
      <c r="D2066" s="1"/>
    </row>
    <row r="2067" spans="4:4">
      <c r="D2067" s="1"/>
    </row>
    <row r="2068" spans="4:4">
      <c r="D2068" s="1"/>
    </row>
    <row r="2069" spans="4:4">
      <c r="D2069" s="1"/>
    </row>
    <row r="2070" spans="4:4">
      <c r="D2070" s="1"/>
    </row>
    <row r="2071" spans="4:4">
      <c r="D2071" s="1"/>
    </row>
    <row r="2072" spans="4:4">
      <c r="D2072" s="1"/>
    </row>
    <row r="2073" spans="4:4">
      <c r="D2073" s="1"/>
    </row>
    <row r="2074" spans="4:4">
      <c r="D2074" s="1"/>
    </row>
    <row r="2075" spans="4:4">
      <c r="D2075" s="1"/>
    </row>
    <row r="2076" spans="4:4">
      <c r="D2076" s="1"/>
    </row>
    <row r="2077" spans="4:4">
      <c r="D2077" s="1"/>
    </row>
    <row r="2078" spans="4:4">
      <c r="D2078" s="1"/>
    </row>
    <row r="2079" spans="4:4">
      <c r="D2079" s="1"/>
    </row>
    <row r="2080" spans="4:4">
      <c r="D2080" s="1"/>
    </row>
    <row r="2081" spans="4:4">
      <c r="D2081" s="1"/>
    </row>
    <row r="2082" spans="4:4">
      <c r="D2082" s="1"/>
    </row>
    <row r="2083" spans="4:4">
      <c r="D2083" s="1"/>
    </row>
    <row r="2084" spans="4:4">
      <c r="D2084" s="1"/>
    </row>
    <row r="2085" spans="4:4">
      <c r="D2085" s="1"/>
    </row>
    <row r="2086" spans="4:4">
      <c r="D2086" s="1"/>
    </row>
    <row r="2087" spans="4:4">
      <c r="D2087" s="1"/>
    </row>
    <row r="2088" spans="4:4">
      <c r="D2088" s="1"/>
    </row>
    <row r="2089" spans="4:4">
      <c r="D2089" s="1"/>
    </row>
    <row r="2090" spans="4:4">
      <c r="D2090" s="1"/>
    </row>
    <row r="2091" spans="4:4">
      <c r="D2091" s="1"/>
    </row>
    <row r="2092" spans="4:4">
      <c r="D2092" s="1"/>
    </row>
    <row r="2093" spans="4:4">
      <c r="D2093" s="1"/>
    </row>
    <row r="2094" spans="4:4">
      <c r="D2094" s="1"/>
    </row>
    <row r="2095" spans="4:4">
      <c r="D2095" s="1"/>
    </row>
    <row r="2096" spans="4:4">
      <c r="D2096" s="1"/>
    </row>
    <row r="2097" spans="4:4">
      <c r="D2097" s="1"/>
    </row>
    <row r="2098" spans="4:4">
      <c r="D2098" s="1"/>
    </row>
    <row r="2099" spans="4:4">
      <c r="D2099" s="1"/>
    </row>
    <row r="2100" spans="4:4">
      <c r="D2100" s="1"/>
    </row>
    <row r="2101" spans="4:4">
      <c r="D2101" s="1"/>
    </row>
    <row r="2102" spans="4:4">
      <c r="D2102" s="1"/>
    </row>
    <row r="2103" spans="4:4">
      <c r="D2103" s="1"/>
    </row>
    <row r="2104" spans="4:4">
      <c r="D2104" s="1"/>
    </row>
    <row r="2105" spans="4:4">
      <c r="D2105" s="1"/>
    </row>
    <row r="2106" spans="4:4">
      <c r="D2106" s="1"/>
    </row>
    <row r="2107" spans="4:4">
      <c r="D2107" s="1"/>
    </row>
    <row r="2108" spans="4:4">
      <c r="D2108" s="1"/>
    </row>
    <row r="2109" spans="4:4">
      <c r="D2109" s="1"/>
    </row>
    <row r="2110" spans="4:4">
      <c r="D2110" s="1"/>
    </row>
    <row r="2111" spans="4:4">
      <c r="D2111" s="1"/>
    </row>
    <row r="2112" spans="4:4">
      <c r="D2112" s="1"/>
    </row>
    <row r="2113" spans="4:4">
      <c r="D2113" s="1"/>
    </row>
    <row r="2114" spans="4:4">
      <c r="D2114" s="1"/>
    </row>
    <row r="2115" spans="4:4">
      <c r="D2115" s="1"/>
    </row>
    <row r="2116" spans="4:4">
      <c r="D2116" s="1"/>
    </row>
    <row r="2117" spans="4:4">
      <c r="D2117" s="1"/>
    </row>
    <row r="2118" spans="4:4">
      <c r="D2118" s="1"/>
    </row>
    <row r="2119" spans="4:4">
      <c r="D2119" s="1"/>
    </row>
    <row r="2120" spans="4:4">
      <c r="D2120" s="1"/>
    </row>
    <row r="2121" spans="4:4">
      <c r="D2121" s="1"/>
    </row>
    <row r="2122" spans="4:4">
      <c r="D2122" s="1"/>
    </row>
    <row r="2123" spans="4:4">
      <c r="D2123" s="1"/>
    </row>
    <row r="2124" spans="4:4">
      <c r="D2124" s="1"/>
    </row>
    <row r="2125" spans="4:4">
      <c r="D2125" s="1"/>
    </row>
    <row r="2126" spans="4:4">
      <c r="D2126" s="1"/>
    </row>
    <row r="2127" spans="4:4">
      <c r="D2127" s="1"/>
    </row>
    <row r="2128" spans="4:4">
      <c r="D2128" s="1"/>
    </row>
    <row r="2129" spans="4:4">
      <c r="D2129" s="1"/>
    </row>
    <row r="2130" spans="4:4">
      <c r="D2130" s="1"/>
    </row>
    <row r="2131" spans="4:4">
      <c r="D2131" s="1"/>
    </row>
    <row r="2132" spans="4:4">
      <c r="D2132" s="1"/>
    </row>
    <row r="2133" spans="4:4">
      <c r="D2133" s="1"/>
    </row>
    <row r="2134" spans="4:4">
      <c r="D2134" s="1"/>
    </row>
    <row r="2135" spans="4:4">
      <c r="D2135" s="1"/>
    </row>
    <row r="2136" spans="4:4">
      <c r="D2136" s="1"/>
    </row>
    <row r="2137" spans="4:4">
      <c r="D2137" s="1"/>
    </row>
    <row r="2138" spans="4:4">
      <c r="D2138" s="1"/>
    </row>
    <row r="2139" spans="4:4">
      <c r="D2139" s="1"/>
    </row>
    <row r="2140" spans="4:4">
      <c r="D2140" s="1"/>
    </row>
    <row r="2141" spans="4:4">
      <c r="D2141" s="1"/>
    </row>
    <row r="2142" spans="4:4">
      <c r="D2142" s="1"/>
    </row>
    <row r="2143" spans="4:4">
      <c r="D2143" s="1"/>
    </row>
    <row r="2144" spans="4:4">
      <c r="D2144" s="1"/>
    </row>
    <row r="2145" spans="4:4">
      <c r="D2145" s="1"/>
    </row>
    <row r="2146" spans="4:4">
      <c r="D2146" s="1"/>
    </row>
    <row r="2147" spans="4:4">
      <c r="D2147" s="1"/>
    </row>
    <row r="2148" spans="4:4">
      <c r="D2148" s="1"/>
    </row>
    <row r="2149" spans="4:4">
      <c r="D2149" s="1"/>
    </row>
    <row r="2150" spans="4:4">
      <c r="D2150" s="1"/>
    </row>
    <row r="2151" spans="4:4">
      <c r="D2151" s="1"/>
    </row>
    <row r="2152" spans="4:4">
      <c r="D2152" s="1"/>
    </row>
    <row r="2153" spans="4:4">
      <c r="D2153" s="1"/>
    </row>
    <row r="2154" spans="4:4">
      <c r="D2154" s="1"/>
    </row>
    <row r="2155" spans="4:4">
      <c r="D2155" s="1"/>
    </row>
    <row r="2156" spans="4:4">
      <c r="D2156" s="1"/>
    </row>
    <row r="2157" spans="4:4">
      <c r="D2157" s="1"/>
    </row>
    <row r="2158" spans="4:4">
      <c r="D2158" s="1"/>
    </row>
    <row r="2159" spans="4:4">
      <c r="D2159" s="1"/>
    </row>
    <row r="2160" spans="4:4">
      <c r="D2160" s="1"/>
    </row>
    <row r="2161" spans="4:4">
      <c r="D2161" s="1"/>
    </row>
    <row r="2162" spans="4:4">
      <c r="D2162" s="1"/>
    </row>
    <row r="2163" spans="4:4">
      <c r="D2163" s="1"/>
    </row>
    <row r="2164" spans="4:4">
      <c r="D2164" s="1"/>
    </row>
    <row r="2165" spans="4:4">
      <c r="D2165" s="1"/>
    </row>
    <row r="2166" spans="4:4">
      <c r="D2166" s="1"/>
    </row>
    <row r="2167" spans="4:4">
      <c r="D2167" s="1"/>
    </row>
    <row r="2168" spans="4:4">
      <c r="D2168" s="1"/>
    </row>
    <row r="2169" spans="4:4">
      <c r="D2169" s="1"/>
    </row>
    <row r="2170" spans="4:4">
      <c r="D2170" s="1"/>
    </row>
    <row r="2171" spans="4:4">
      <c r="D2171" s="1"/>
    </row>
    <row r="2172" spans="4:4">
      <c r="D2172" s="1"/>
    </row>
    <row r="2173" spans="4:4">
      <c r="D2173" s="1"/>
    </row>
    <row r="2174" spans="4:4">
      <c r="D2174" s="1"/>
    </row>
    <row r="2175" spans="4:4">
      <c r="D2175" s="1"/>
    </row>
    <row r="2176" spans="4:4">
      <c r="D2176" s="1"/>
    </row>
    <row r="2177" spans="4:4">
      <c r="D2177" s="1"/>
    </row>
    <row r="2178" spans="4:4">
      <c r="D2178" s="1"/>
    </row>
    <row r="2179" spans="4:4">
      <c r="D2179" s="1"/>
    </row>
    <row r="2180" spans="4:4">
      <c r="D2180" s="1"/>
    </row>
    <row r="2181" spans="4:4">
      <c r="D2181" s="1"/>
    </row>
    <row r="2182" spans="4:4">
      <c r="D2182" s="1"/>
    </row>
    <row r="2183" spans="4:4">
      <c r="D2183" s="1"/>
    </row>
    <row r="2184" spans="4:4">
      <c r="D2184" s="1"/>
    </row>
    <row r="2185" spans="4:4">
      <c r="D2185" s="1"/>
    </row>
    <row r="2186" spans="4:4">
      <c r="D2186" s="1"/>
    </row>
    <row r="2187" spans="4:4">
      <c r="D2187" s="1"/>
    </row>
    <row r="2188" spans="4:4">
      <c r="D2188" s="1"/>
    </row>
    <row r="2189" spans="4:4">
      <c r="D2189" s="1"/>
    </row>
    <row r="2190" spans="4:4">
      <c r="D2190" s="1"/>
    </row>
    <row r="2191" spans="4:4">
      <c r="D2191" s="1"/>
    </row>
    <row r="2192" spans="4:4">
      <c r="D2192" s="1"/>
    </row>
    <row r="2193" spans="4:4">
      <c r="D2193" s="1"/>
    </row>
    <row r="2194" spans="4:4">
      <c r="D2194" s="1"/>
    </row>
    <row r="2195" spans="4:4">
      <c r="D2195" s="1"/>
    </row>
    <row r="2196" spans="4:4">
      <c r="D2196" s="1"/>
    </row>
    <row r="2197" spans="4:4">
      <c r="D2197" s="1"/>
    </row>
    <row r="2198" spans="4:4">
      <c r="D2198" s="1"/>
    </row>
    <row r="2199" spans="4:4">
      <c r="D2199" s="1"/>
    </row>
    <row r="2200" spans="4:4">
      <c r="D2200" s="1"/>
    </row>
    <row r="2201" spans="4:4">
      <c r="D2201" s="1"/>
    </row>
    <row r="2202" spans="4:4">
      <c r="D2202" s="1"/>
    </row>
    <row r="2203" spans="4:4">
      <c r="D2203" s="1"/>
    </row>
    <row r="2204" spans="4:4">
      <c r="D2204" s="1"/>
    </row>
    <row r="2205" spans="4:4">
      <c r="D2205" s="1"/>
    </row>
    <row r="2206" spans="4:4">
      <c r="D2206" s="1"/>
    </row>
    <row r="2207" spans="4:4">
      <c r="D2207" s="1"/>
    </row>
    <row r="2208" spans="4:4">
      <c r="D2208" s="1"/>
    </row>
    <row r="2209" spans="4:4">
      <c r="D2209" s="1"/>
    </row>
    <row r="2210" spans="4:4">
      <c r="D2210" s="1"/>
    </row>
    <row r="2211" spans="4:4">
      <c r="D2211" s="1"/>
    </row>
    <row r="2212" spans="4:4">
      <c r="D2212" s="1"/>
    </row>
    <row r="2213" spans="4:4">
      <c r="D2213" s="1"/>
    </row>
    <row r="2214" spans="4:4">
      <c r="D2214" s="1"/>
    </row>
    <row r="2215" spans="4:4">
      <c r="D2215" s="1"/>
    </row>
    <row r="2216" spans="4:4">
      <c r="D2216" s="1"/>
    </row>
    <row r="2217" spans="4:4">
      <c r="D2217" s="1"/>
    </row>
    <row r="2218" spans="4:4">
      <c r="D2218" s="1"/>
    </row>
    <row r="2219" spans="4:4">
      <c r="D2219" s="1"/>
    </row>
    <row r="2220" spans="4:4">
      <c r="D2220" s="1"/>
    </row>
    <row r="2221" spans="4:4">
      <c r="D2221" s="1"/>
    </row>
    <row r="2222" spans="4:4">
      <c r="D2222" s="1"/>
    </row>
    <row r="2223" spans="4:4">
      <c r="D2223" s="1"/>
    </row>
    <row r="2224" spans="4:4">
      <c r="D2224" s="1"/>
    </row>
    <row r="2225" spans="4:4">
      <c r="D2225" s="1"/>
    </row>
    <row r="2226" spans="4:4">
      <c r="D2226" s="1"/>
    </row>
    <row r="2227" spans="4:4">
      <c r="D2227" s="1"/>
    </row>
    <row r="2228" spans="4:4">
      <c r="D2228" s="1"/>
    </row>
    <row r="2229" spans="4:4">
      <c r="D2229" s="1"/>
    </row>
    <row r="2230" spans="4:4">
      <c r="D2230" s="1"/>
    </row>
    <row r="2231" spans="4:4">
      <c r="D2231" s="1"/>
    </row>
    <row r="2232" spans="4:4">
      <c r="D2232" s="1"/>
    </row>
    <row r="2233" spans="4:4">
      <c r="D2233" s="1"/>
    </row>
    <row r="2234" spans="4:4">
      <c r="D2234" s="1"/>
    </row>
    <row r="2235" spans="4:4">
      <c r="D2235" s="1"/>
    </row>
    <row r="2236" spans="4:4">
      <c r="D2236" s="1"/>
    </row>
    <row r="2237" spans="4:4">
      <c r="D2237" s="1"/>
    </row>
    <row r="2238" spans="4:4">
      <c r="D2238" s="1"/>
    </row>
    <row r="2239" spans="4:4">
      <c r="D2239" s="1"/>
    </row>
    <row r="2240" spans="4:4">
      <c r="D2240" s="1"/>
    </row>
    <row r="2241" spans="4:4">
      <c r="D2241" s="1"/>
    </row>
    <row r="2242" spans="4:4">
      <c r="D2242" s="1"/>
    </row>
    <row r="2243" spans="4:4">
      <c r="D2243" s="1"/>
    </row>
    <row r="2244" spans="4:4">
      <c r="D2244" s="1"/>
    </row>
    <row r="2245" spans="4:4">
      <c r="D2245" s="1"/>
    </row>
    <row r="2246" spans="4:4">
      <c r="D2246" s="1"/>
    </row>
    <row r="2247" spans="4:4">
      <c r="D2247" s="1"/>
    </row>
    <row r="2248" spans="4:4">
      <c r="D2248" s="1"/>
    </row>
    <row r="2249" spans="4:4">
      <c r="D2249" s="1"/>
    </row>
    <row r="2250" spans="4:4">
      <c r="D2250" s="1"/>
    </row>
    <row r="2251" spans="4:4">
      <c r="D2251" s="1"/>
    </row>
    <row r="2252" spans="4:4">
      <c r="D2252" s="1"/>
    </row>
    <row r="2253" spans="4:4">
      <c r="D2253" s="1"/>
    </row>
    <row r="2254" spans="4:4">
      <c r="D2254" s="1"/>
    </row>
    <row r="2255" spans="4:4">
      <c r="D2255" s="1"/>
    </row>
    <row r="2256" spans="4:4">
      <c r="D2256" s="1"/>
    </row>
    <row r="2257" spans="4:4">
      <c r="D2257" s="1"/>
    </row>
    <row r="2258" spans="4:4">
      <c r="D2258" s="1"/>
    </row>
    <row r="2259" spans="4:4">
      <c r="D2259" s="1"/>
    </row>
    <row r="2260" spans="4:4">
      <c r="D2260" s="1"/>
    </row>
    <row r="2261" spans="4:4">
      <c r="D2261" s="1"/>
    </row>
    <row r="2262" spans="4:4">
      <c r="D2262" s="1"/>
    </row>
    <row r="2263" spans="4:4">
      <c r="D2263" s="1"/>
    </row>
    <row r="2264" spans="4:4">
      <c r="D2264" s="1"/>
    </row>
    <row r="2265" spans="4:4">
      <c r="D2265" s="1"/>
    </row>
    <row r="2266" spans="4:4">
      <c r="D2266" s="1"/>
    </row>
    <row r="2267" spans="4:4">
      <c r="D2267" s="1"/>
    </row>
    <row r="2268" spans="4:4">
      <c r="D2268" s="1"/>
    </row>
    <row r="2269" spans="4:4">
      <c r="D2269" s="1"/>
    </row>
    <row r="2270" spans="4:4">
      <c r="D2270" s="1"/>
    </row>
    <row r="2271" spans="4:4">
      <c r="D2271" s="1"/>
    </row>
    <row r="2272" spans="4:4">
      <c r="D2272" s="1"/>
    </row>
    <row r="2273" spans="4:4">
      <c r="D2273" s="1"/>
    </row>
    <row r="2274" spans="4:4">
      <c r="D2274" s="1"/>
    </row>
    <row r="2275" spans="4:4">
      <c r="D2275" s="1"/>
    </row>
    <row r="2276" spans="4:4">
      <c r="D2276" s="1"/>
    </row>
    <row r="2277" spans="4:4">
      <c r="D2277" s="1"/>
    </row>
    <row r="2278" spans="4:4">
      <c r="D2278" s="1"/>
    </row>
    <row r="2279" spans="4:4">
      <c r="D2279" s="1"/>
    </row>
    <row r="2280" spans="4:4">
      <c r="D2280" s="1"/>
    </row>
    <row r="2281" spans="4:4">
      <c r="D2281" s="1"/>
    </row>
    <row r="2282" spans="4:4">
      <c r="D2282" s="1"/>
    </row>
    <row r="2283" spans="4:4">
      <c r="D2283" s="1"/>
    </row>
    <row r="2284" spans="4:4">
      <c r="D2284" s="1"/>
    </row>
    <row r="2285" spans="4:4">
      <c r="D2285" s="1"/>
    </row>
    <row r="2286" spans="4:4">
      <c r="D2286" s="1"/>
    </row>
    <row r="2287" spans="4:4">
      <c r="D2287" s="1"/>
    </row>
    <row r="2288" spans="4:4">
      <c r="D2288" s="1"/>
    </row>
    <row r="2289" spans="4:4">
      <c r="D2289" s="1"/>
    </row>
    <row r="2290" spans="4:4">
      <c r="D2290" s="1"/>
    </row>
    <row r="2291" spans="4:4">
      <c r="D2291" s="1"/>
    </row>
    <row r="2292" spans="4:4">
      <c r="D2292" s="1"/>
    </row>
    <row r="2293" spans="4:4">
      <c r="D2293" s="1"/>
    </row>
    <row r="2294" spans="4:4">
      <c r="D2294" s="1"/>
    </row>
    <row r="2295" spans="4:4">
      <c r="D2295" s="1"/>
    </row>
    <row r="2296" spans="4:4">
      <c r="D2296" s="1"/>
    </row>
    <row r="2297" spans="4:4">
      <c r="D2297" s="1"/>
    </row>
    <row r="2298" spans="4:4">
      <c r="D2298" s="1"/>
    </row>
    <row r="2299" spans="4:4">
      <c r="D2299" s="1"/>
    </row>
    <row r="2300" spans="4:4">
      <c r="D2300" s="1"/>
    </row>
    <row r="2301" spans="4:4">
      <c r="D2301" s="1"/>
    </row>
    <row r="2302" spans="4:4">
      <c r="D2302" s="1"/>
    </row>
    <row r="2303" spans="4:4">
      <c r="D2303" s="1"/>
    </row>
    <row r="2304" spans="4:4">
      <c r="D2304" s="1"/>
    </row>
    <row r="2305" spans="4:4">
      <c r="D2305" s="1"/>
    </row>
    <row r="2306" spans="4:4">
      <c r="D2306" s="1"/>
    </row>
    <row r="2307" spans="4:4">
      <c r="D2307" s="1"/>
    </row>
    <row r="2308" spans="4:4">
      <c r="D2308" s="1"/>
    </row>
    <row r="2309" spans="4:4">
      <c r="D2309" s="1"/>
    </row>
    <row r="2310" spans="4:4">
      <c r="D2310" s="1"/>
    </row>
    <row r="2311" spans="4:4">
      <c r="D2311" s="1"/>
    </row>
    <row r="2312" spans="4:4">
      <c r="D2312" s="1"/>
    </row>
    <row r="2313" spans="4:4">
      <c r="D2313" s="1"/>
    </row>
    <row r="2314" spans="4:4">
      <c r="D2314" s="1"/>
    </row>
    <row r="2315" spans="4:4">
      <c r="D2315" s="1"/>
    </row>
    <row r="2316" spans="4:4">
      <c r="D2316" s="1"/>
    </row>
    <row r="2317" spans="4:4">
      <c r="D2317" s="1"/>
    </row>
    <row r="2318" spans="4:4">
      <c r="D2318" s="1"/>
    </row>
    <row r="2319" spans="4:4">
      <c r="D2319" s="1"/>
    </row>
    <row r="2320" spans="4:4">
      <c r="D2320" s="1"/>
    </row>
    <row r="2321" spans="4:4">
      <c r="D2321" s="1"/>
    </row>
    <row r="2322" spans="4:4">
      <c r="D2322" s="1"/>
    </row>
    <row r="2323" spans="4:4">
      <c r="D2323" s="1"/>
    </row>
    <row r="2324" spans="4:4">
      <c r="D2324" s="1"/>
    </row>
    <row r="2325" spans="4:4">
      <c r="D2325" s="1"/>
    </row>
    <row r="2326" spans="4:4">
      <c r="D2326" s="1"/>
    </row>
    <row r="2327" spans="4:4">
      <c r="D2327" s="1"/>
    </row>
    <row r="2328" spans="4:4">
      <c r="D2328" s="1"/>
    </row>
    <row r="2329" spans="4:4">
      <c r="D2329" s="1"/>
    </row>
    <row r="2330" spans="4:4">
      <c r="D2330" s="1"/>
    </row>
    <row r="2331" spans="4:4">
      <c r="D2331" s="1"/>
    </row>
    <row r="2332" spans="4:4">
      <c r="D2332" s="1"/>
    </row>
    <row r="2333" spans="4:4">
      <c r="D2333" s="1"/>
    </row>
    <row r="2334" spans="4:4">
      <c r="D2334" s="1"/>
    </row>
    <row r="2335" spans="4:4">
      <c r="D2335" s="1"/>
    </row>
    <row r="2336" spans="4:4">
      <c r="D2336" s="1"/>
    </row>
    <row r="2337" spans="4:4">
      <c r="D2337" s="1"/>
    </row>
    <row r="2338" spans="4:4">
      <c r="D2338" s="1"/>
    </row>
    <row r="2339" spans="4:4">
      <c r="D2339" s="1"/>
    </row>
    <row r="2340" spans="4:4">
      <c r="D2340" s="1"/>
    </row>
    <row r="2341" spans="4:4">
      <c r="D2341" s="1"/>
    </row>
    <row r="2342" spans="4:4">
      <c r="D2342" s="1"/>
    </row>
    <row r="2343" spans="4:4">
      <c r="D2343" s="1"/>
    </row>
    <row r="2344" spans="4:4">
      <c r="D2344" s="1"/>
    </row>
    <row r="2345" spans="4:4">
      <c r="D2345" s="1"/>
    </row>
    <row r="2346" spans="4:4">
      <c r="D2346" s="1"/>
    </row>
    <row r="2347" spans="4:4">
      <c r="D2347" s="1"/>
    </row>
    <row r="2348" spans="4:4">
      <c r="D2348" s="1"/>
    </row>
    <row r="2349" spans="4:4">
      <c r="D2349" s="1"/>
    </row>
    <row r="2350" spans="4:4">
      <c r="D2350" s="1"/>
    </row>
    <row r="2351" spans="4:4">
      <c r="D2351" s="1"/>
    </row>
    <row r="2352" spans="4:4">
      <c r="D2352" s="1"/>
    </row>
    <row r="2353" spans="4:4">
      <c r="D2353" s="1"/>
    </row>
    <row r="2354" spans="4:4">
      <c r="D2354" s="1"/>
    </row>
    <row r="2355" spans="4:4">
      <c r="D2355" s="1"/>
    </row>
    <row r="2356" spans="4:4">
      <c r="D2356" s="1"/>
    </row>
    <row r="2357" spans="4:4">
      <c r="D2357" s="1"/>
    </row>
    <row r="2358" spans="4:4">
      <c r="D2358" s="1"/>
    </row>
    <row r="2359" spans="4:4">
      <c r="D2359" s="1"/>
    </row>
    <row r="2360" spans="4:4">
      <c r="D2360" s="1"/>
    </row>
    <row r="2361" spans="4:4">
      <c r="D2361" s="1"/>
    </row>
    <row r="2362" spans="4:4">
      <c r="D2362" s="1"/>
    </row>
    <row r="2363" spans="4:4">
      <c r="D2363" s="1"/>
    </row>
    <row r="2364" spans="4:4">
      <c r="D2364" s="1"/>
    </row>
    <row r="2365" spans="4:4">
      <c r="D2365" s="1"/>
    </row>
    <row r="2366" spans="4:4">
      <c r="D2366" s="1"/>
    </row>
    <row r="2367" spans="4:4">
      <c r="D2367" s="1"/>
    </row>
    <row r="2368" spans="4:4">
      <c r="D2368" s="1"/>
    </row>
    <row r="2369" spans="4:4">
      <c r="D2369" s="1"/>
    </row>
    <row r="2370" spans="4:4">
      <c r="D2370" s="1"/>
    </row>
    <row r="2371" spans="4:4">
      <c r="D2371" s="1"/>
    </row>
    <row r="2372" spans="4:4">
      <c r="D2372" s="1"/>
    </row>
    <row r="2373" spans="4:4">
      <c r="D2373" s="1"/>
    </row>
    <row r="2374" spans="4:4">
      <c r="D2374" s="1"/>
    </row>
    <row r="2375" spans="4:4">
      <c r="D2375" s="1"/>
    </row>
    <row r="2376" spans="4:4">
      <c r="D2376" s="1"/>
    </row>
    <row r="2377" spans="4:4">
      <c r="D2377" s="1"/>
    </row>
    <row r="2378" spans="4:4">
      <c r="D2378" s="1"/>
    </row>
    <row r="2379" spans="4:4">
      <c r="D2379" s="1"/>
    </row>
    <row r="2380" spans="4:4">
      <c r="D2380" s="1"/>
    </row>
    <row r="2381" spans="4:4">
      <c r="D2381" s="1"/>
    </row>
    <row r="2382" spans="4:4">
      <c r="D2382" s="1"/>
    </row>
    <row r="2383" spans="4:4">
      <c r="D2383" s="1"/>
    </row>
    <row r="2384" spans="4:4">
      <c r="D2384" s="1"/>
    </row>
    <row r="2385" spans="4:4">
      <c r="D2385" s="1"/>
    </row>
    <row r="2386" spans="4:4">
      <c r="D2386" s="1"/>
    </row>
    <row r="2387" spans="4:4">
      <c r="D2387" s="1"/>
    </row>
    <row r="2388" spans="4:4">
      <c r="D2388" s="1"/>
    </row>
    <row r="2389" spans="4:4">
      <c r="D2389" s="1"/>
    </row>
    <row r="2390" spans="4:4">
      <c r="D2390" s="1"/>
    </row>
    <row r="2391" spans="4:4">
      <c r="D2391" s="1"/>
    </row>
    <row r="2392" spans="4:4">
      <c r="D2392" s="1"/>
    </row>
    <row r="2393" spans="4:4">
      <c r="D2393" s="1"/>
    </row>
    <row r="2394" spans="4:4">
      <c r="D2394" s="1"/>
    </row>
    <row r="2395" spans="4:4">
      <c r="D2395" s="1"/>
    </row>
    <row r="2396" spans="4:4">
      <c r="D2396" s="1"/>
    </row>
    <row r="2397" spans="4:4">
      <c r="D2397" s="1"/>
    </row>
    <row r="2398" spans="4:4">
      <c r="D2398" s="1"/>
    </row>
    <row r="2399" spans="4:4">
      <c r="D2399" s="1"/>
    </row>
    <row r="2400" spans="4:4">
      <c r="D2400" s="1"/>
    </row>
    <row r="2401" spans="4:4">
      <c r="D2401" s="1"/>
    </row>
    <row r="2402" spans="4:4">
      <c r="D2402" s="1"/>
    </row>
    <row r="2403" spans="4:4">
      <c r="D2403" s="1"/>
    </row>
    <row r="2404" spans="4:4">
      <c r="D2404" s="1"/>
    </row>
    <row r="2405" spans="4:4">
      <c r="D2405" s="1"/>
    </row>
    <row r="2406" spans="4:4">
      <c r="D2406" s="1"/>
    </row>
    <row r="2407" spans="4:4">
      <c r="D2407" s="1"/>
    </row>
    <row r="2408" spans="4:4">
      <c r="D2408" s="1"/>
    </row>
    <row r="2409" spans="4:4">
      <c r="D2409" s="1"/>
    </row>
    <row r="2410" spans="4:4">
      <c r="D2410" s="1"/>
    </row>
    <row r="2411" spans="4:4">
      <c r="D2411" s="1"/>
    </row>
    <row r="2412" spans="4:4">
      <c r="D2412" s="1"/>
    </row>
    <row r="2413" spans="4:4">
      <c r="D2413" s="1"/>
    </row>
    <row r="2414" spans="4:4">
      <c r="D2414" s="1"/>
    </row>
    <row r="2415" spans="4:4">
      <c r="D2415" s="1"/>
    </row>
    <row r="2416" spans="4:4">
      <c r="D2416" s="1"/>
    </row>
    <row r="2417" spans="4:4">
      <c r="D2417" s="1"/>
    </row>
    <row r="2418" spans="4:4">
      <c r="D2418" s="1"/>
    </row>
    <row r="2419" spans="4:4">
      <c r="D2419" s="1"/>
    </row>
    <row r="2420" spans="4:4">
      <c r="D2420" s="1"/>
    </row>
    <row r="2421" spans="4:4">
      <c r="D2421" s="1"/>
    </row>
    <row r="2422" spans="4:4">
      <c r="D2422" s="1"/>
    </row>
    <row r="2423" spans="4:4">
      <c r="D2423" s="1"/>
    </row>
    <row r="2424" spans="4:4">
      <c r="D2424" s="1"/>
    </row>
    <row r="2425" spans="4:4">
      <c r="D2425" s="1"/>
    </row>
    <row r="2426" spans="4:4">
      <c r="D2426" s="1"/>
    </row>
    <row r="2427" spans="4:4">
      <c r="D2427" s="1"/>
    </row>
    <row r="2428" spans="4:4">
      <c r="D2428" s="1"/>
    </row>
    <row r="2429" spans="4:4">
      <c r="D2429" s="1"/>
    </row>
    <row r="2430" spans="4:4">
      <c r="D2430" s="1"/>
    </row>
    <row r="2431" spans="4:4">
      <c r="D2431" s="1"/>
    </row>
    <row r="2432" spans="4:4">
      <c r="D2432" s="1"/>
    </row>
    <row r="2433" spans="4:4">
      <c r="D2433" s="1"/>
    </row>
    <row r="2434" spans="4:4">
      <c r="D2434" s="1"/>
    </row>
    <row r="2435" spans="4:4">
      <c r="D2435" s="1"/>
    </row>
    <row r="2436" spans="4:4">
      <c r="D2436" s="1"/>
    </row>
    <row r="2437" spans="4:4">
      <c r="D2437" s="1"/>
    </row>
    <row r="2438" spans="4:4">
      <c r="D2438" s="1"/>
    </row>
    <row r="2439" spans="4:4">
      <c r="D2439" s="1"/>
    </row>
    <row r="2440" spans="4:4">
      <c r="D2440" s="1"/>
    </row>
    <row r="2441" spans="4:4">
      <c r="D2441" s="1"/>
    </row>
    <row r="2442" spans="4:4">
      <c r="D2442" s="1"/>
    </row>
    <row r="2443" spans="4:4">
      <c r="D2443" s="1"/>
    </row>
    <row r="2444" spans="4:4">
      <c r="D2444" s="1"/>
    </row>
    <row r="2445" spans="4:4">
      <c r="D2445" s="1"/>
    </row>
    <row r="2446" spans="4:4">
      <c r="D2446" s="1"/>
    </row>
    <row r="2447" spans="4:4">
      <c r="D2447" s="1"/>
    </row>
    <row r="2448" spans="4:4">
      <c r="D2448" s="1"/>
    </row>
    <row r="2449" spans="4:4">
      <c r="D2449" s="1"/>
    </row>
    <row r="2450" spans="4:4">
      <c r="D2450" s="1"/>
    </row>
    <row r="2451" spans="4:4">
      <c r="D2451" s="1"/>
    </row>
    <row r="2452" spans="4:4">
      <c r="D2452" s="1"/>
    </row>
    <row r="2453" spans="4:4">
      <c r="D2453" s="1"/>
    </row>
    <row r="2454" spans="4:4">
      <c r="D2454" s="1"/>
    </row>
    <row r="2455" spans="4:4">
      <c r="D2455" s="1"/>
    </row>
    <row r="2456" spans="4:4">
      <c r="D2456" s="1"/>
    </row>
    <row r="2457" spans="4:4">
      <c r="D2457" s="1"/>
    </row>
    <row r="2458" spans="4:4">
      <c r="D2458" s="1"/>
    </row>
    <row r="2459" spans="4:4">
      <c r="D2459" s="1"/>
    </row>
    <row r="2460" spans="4:4">
      <c r="D2460" s="1"/>
    </row>
    <row r="2461" spans="4:4">
      <c r="D2461" s="1"/>
    </row>
    <row r="2462" spans="4:4">
      <c r="D2462" s="1"/>
    </row>
    <row r="2463" spans="4:4">
      <c r="D2463" s="1"/>
    </row>
    <row r="2464" spans="4:4">
      <c r="D2464" s="1"/>
    </row>
    <row r="2465" spans="4:4">
      <c r="D2465" s="1"/>
    </row>
    <row r="2466" spans="4:4">
      <c r="D2466" s="1"/>
    </row>
    <row r="2467" spans="4:4">
      <c r="D2467" s="1"/>
    </row>
    <row r="2468" spans="4:4">
      <c r="D2468" s="1"/>
    </row>
    <row r="2469" spans="4:4">
      <c r="D2469" s="1"/>
    </row>
    <row r="2470" spans="4:4">
      <c r="D2470" s="1"/>
    </row>
    <row r="2471" spans="4:4">
      <c r="D2471" s="1"/>
    </row>
    <row r="2472" spans="4:4">
      <c r="D2472" s="1"/>
    </row>
    <row r="2473" spans="4:4">
      <c r="D2473" s="1"/>
    </row>
    <row r="2474" spans="4:4">
      <c r="D2474" s="1"/>
    </row>
    <row r="2475" spans="4:4">
      <c r="D2475" s="1"/>
    </row>
    <row r="2476" spans="4:4">
      <c r="D2476" s="1"/>
    </row>
    <row r="2477" spans="4:4">
      <c r="D2477" s="1"/>
    </row>
    <row r="2478" spans="4:4">
      <c r="D2478" s="1"/>
    </row>
    <row r="2479" spans="4:4">
      <c r="D2479" s="1"/>
    </row>
    <row r="2480" spans="4:4">
      <c r="D2480" s="1"/>
    </row>
    <row r="2481" spans="4:4">
      <c r="D2481" s="1"/>
    </row>
    <row r="2482" spans="4:4">
      <c r="D2482" s="1"/>
    </row>
    <row r="2483" spans="4:4">
      <c r="D2483" s="1"/>
    </row>
    <row r="2484" spans="4:4">
      <c r="D2484" s="1"/>
    </row>
    <row r="2485" spans="4:4">
      <c r="D2485" s="1"/>
    </row>
    <row r="2486" spans="4:4">
      <c r="D2486" s="1"/>
    </row>
    <row r="2487" spans="4:4">
      <c r="D2487" s="1"/>
    </row>
    <row r="2488" spans="4:4">
      <c r="D2488" s="1"/>
    </row>
    <row r="2489" spans="4:4">
      <c r="D2489" s="1"/>
    </row>
    <row r="2490" spans="4:4">
      <c r="D2490" s="1"/>
    </row>
    <row r="2491" spans="4:4">
      <c r="D2491" s="1"/>
    </row>
    <row r="2492" spans="4:4">
      <c r="D2492" s="1"/>
    </row>
    <row r="2493" spans="4:4">
      <c r="D2493" s="1"/>
    </row>
    <row r="2494" spans="4:4">
      <c r="D2494" s="1"/>
    </row>
    <row r="2495" spans="4:4">
      <c r="D2495" s="1"/>
    </row>
    <row r="2496" spans="4:4">
      <c r="D2496" s="1"/>
    </row>
    <row r="2497" spans="4:4">
      <c r="D2497" s="1"/>
    </row>
    <row r="2498" spans="4:4">
      <c r="D2498" s="1"/>
    </row>
    <row r="2499" spans="4:4">
      <c r="D2499" s="1"/>
    </row>
    <row r="2500" spans="4:4">
      <c r="D2500" s="1"/>
    </row>
    <row r="2501" spans="4:4">
      <c r="D2501" s="1"/>
    </row>
    <row r="2502" spans="4:4">
      <c r="D2502" s="1"/>
    </row>
    <row r="2503" spans="4:4">
      <c r="D2503" s="1"/>
    </row>
    <row r="2504" spans="4:4">
      <c r="D2504" s="1"/>
    </row>
    <row r="2505" spans="4:4">
      <c r="D2505" s="1"/>
    </row>
    <row r="2506" spans="4:4">
      <c r="D2506" s="1"/>
    </row>
    <row r="2507" spans="4:4">
      <c r="D2507" s="1"/>
    </row>
    <row r="2508" spans="4:4">
      <c r="D2508" s="1"/>
    </row>
    <row r="2509" spans="4:4">
      <c r="D2509" s="1"/>
    </row>
    <row r="2510" spans="4:4">
      <c r="D2510" s="1"/>
    </row>
    <row r="2511" spans="4:4">
      <c r="D2511" s="1"/>
    </row>
    <row r="2512" spans="4:4">
      <c r="D2512" s="1"/>
    </row>
    <row r="2513" spans="4:4">
      <c r="D2513" s="1"/>
    </row>
    <row r="2514" spans="4:4">
      <c r="D2514" s="1"/>
    </row>
    <row r="2515" spans="4:4">
      <c r="D2515" s="1"/>
    </row>
    <row r="2516" spans="4:4">
      <c r="D2516" s="1"/>
    </row>
    <row r="2517" spans="4:4">
      <c r="D2517" s="1"/>
    </row>
    <row r="2518" spans="4:4">
      <c r="D2518" s="1"/>
    </row>
    <row r="2519" spans="4:4">
      <c r="D2519" s="1"/>
    </row>
    <row r="2520" spans="4:4">
      <c r="D2520" s="1"/>
    </row>
    <row r="2521" spans="4:4">
      <c r="D2521" s="1"/>
    </row>
    <row r="2522" spans="4:4">
      <c r="D2522" s="1"/>
    </row>
    <row r="2523" spans="4:4">
      <c r="D2523" s="1"/>
    </row>
    <row r="2524" spans="4:4">
      <c r="D2524" s="1"/>
    </row>
    <row r="2525" spans="4:4">
      <c r="D2525" s="1"/>
    </row>
    <row r="2526" spans="4:4">
      <c r="D2526" s="1"/>
    </row>
    <row r="2527" spans="4:4">
      <c r="D2527" s="1"/>
    </row>
    <row r="2528" spans="4:4">
      <c r="D2528" s="1"/>
    </row>
    <row r="2529" spans="4:4">
      <c r="D2529" s="1"/>
    </row>
    <row r="2530" spans="4:4">
      <c r="D2530" s="1"/>
    </row>
    <row r="2531" spans="4:4">
      <c r="D2531" s="1"/>
    </row>
    <row r="2532" spans="4:4">
      <c r="D2532" s="1"/>
    </row>
    <row r="2533" spans="4:4">
      <c r="D2533" s="1"/>
    </row>
    <row r="2534" spans="4:4">
      <c r="D2534" s="1"/>
    </row>
    <row r="2535" spans="4:4">
      <c r="D2535" s="1"/>
    </row>
    <row r="2536" spans="4:4">
      <c r="D2536" s="1"/>
    </row>
    <row r="2537" spans="4:4">
      <c r="D2537" s="1"/>
    </row>
    <row r="2538" spans="4:4">
      <c r="D2538" s="1"/>
    </row>
    <row r="2539" spans="4:4">
      <c r="D2539" s="1"/>
    </row>
    <row r="2540" spans="4:4">
      <c r="D2540" s="1"/>
    </row>
    <row r="2541" spans="4:4">
      <c r="D2541" s="1"/>
    </row>
    <row r="2542" spans="4:4">
      <c r="D2542" s="1"/>
    </row>
    <row r="2543" spans="4:4">
      <c r="D2543" s="1"/>
    </row>
    <row r="2544" spans="4:4">
      <c r="D2544" s="1"/>
    </row>
    <row r="2545" spans="4:4">
      <c r="D2545" s="1"/>
    </row>
    <row r="2546" spans="4:4">
      <c r="D2546" s="1"/>
    </row>
    <row r="2547" spans="4:4">
      <c r="D2547" s="1"/>
    </row>
    <row r="2548" spans="4:4">
      <c r="D2548" s="1"/>
    </row>
    <row r="2549" spans="4:4">
      <c r="D2549" s="1"/>
    </row>
    <row r="2550" spans="4:4">
      <c r="D2550" s="1"/>
    </row>
    <row r="2551" spans="4:4">
      <c r="D2551" s="1"/>
    </row>
    <row r="2552" spans="4:4">
      <c r="D2552" s="1"/>
    </row>
    <row r="2553" spans="4:4">
      <c r="D2553" s="1"/>
    </row>
    <row r="2554" spans="4:4">
      <c r="D2554" s="1"/>
    </row>
    <row r="2555" spans="4:4">
      <c r="D2555" s="1"/>
    </row>
    <row r="2556" spans="4:4">
      <c r="D2556" s="1"/>
    </row>
    <row r="2557" spans="4:4">
      <c r="D2557" s="1"/>
    </row>
    <row r="2558" spans="4:4">
      <c r="D2558" s="1"/>
    </row>
    <row r="2559" spans="4:4">
      <c r="D2559" s="1"/>
    </row>
    <row r="2560" spans="4:4">
      <c r="D2560" s="1"/>
    </row>
    <row r="2561" spans="4:4">
      <c r="D2561" s="1"/>
    </row>
    <row r="2562" spans="4:4">
      <c r="D2562" s="1"/>
    </row>
    <row r="2563" spans="4:4">
      <c r="D2563" s="1"/>
    </row>
    <row r="2564" spans="4:4">
      <c r="D2564" s="1"/>
    </row>
    <row r="2565" spans="4:4">
      <c r="D2565" s="1"/>
    </row>
    <row r="2566" spans="4:4">
      <c r="D2566" s="1"/>
    </row>
    <row r="2567" spans="4:4">
      <c r="D2567" s="1"/>
    </row>
    <row r="2568" spans="4:4">
      <c r="D2568" s="1"/>
    </row>
    <row r="2569" spans="4:4">
      <c r="D2569" s="1"/>
    </row>
    <row r="2570" spans="4:4">
      <c r="D2570" s="1"/>
    </row>
    <row r="2571" spans="4:4">
      <c r="D2571" s="1"/>
    </row>
    <row r="2572" spans="4:4">
      <c r="D2572" s="1"/>
    </row>
    <row r="2573" spans="4:4">
      <c r="D2573" s="1"/>
    </row>
    <row r="2574" spans="4:4">
      <c r="D2574" s="1"/>
    </row>
    <row r="2575" spans="4:4">
      <c r="D2575" s="1"/>
    </row>
    <row r="2576" spans="4:4">
      <c r="D2576" s="1"/>
    </row>
    <row r="2577" spans="4:4">
      <c r="D2577" s="1"/>
    </row>
    <row r="2578" spans="4:4">
      <c r="D2578" s="1"/>
    </row>
    <row r="2579" spans="4:4">
      <c r="D2579" s="1"/>
    </row>
    <row r="2580" spans="4:4">
      <c r="D2580" s="1"/>
    </row>
    <row r="2581" spans="4:4">
      <c r="D2581" s="1"/>
    </row>
    <row r="2582" spans="4:4">
      <c r="D2582" s="1"/>
    </row>
    <row r="2583" spans="4:4">
      <c r="D2583" s="1"/>
    </row>
    <row r="2584" spans="4:4">
      <c r="D2584" s="1"/>
    </row>
    <row r="2585" spans="4:4">
      <c r="D2585" s="1"/>
    </row>
    <row r="2586" spans="4:4">
      <c r="D2586" s="1"/>
    </row>
    <row r="2587" spans="4:4">
      <c r="D2587" s="1"/>
    </row>
    <row r="2588" spans="4:4">
      <c r="D2588" s="1"/>
    </row>
    <row r="2589" spans="4:4">
      <c r="D2589" s="1"/>
    </row>
    <row r="2590" spans="4:4">
      <c r="D2590" s="1"/>
    </row>
    <row r="2591" spans="4:4">
      <c r="D2591" s="1"/>
    </row>
    <row r="2592" spans="4:4">
      <c r="D2592" s="1"/>
    </row>
    <row r="2593" spans="4:4">
      <c r="D2593" s="1"/>
    </row>
    <row r="2594" spans="4:4">
      <c r="D2594" s="1"/>
    </row>
    <row r="2595" spans="4:4">
      <c r="D2595" s="1"/>
    </row>
    <row r="2596" spans="4:4">
      <c r="D2596" s="1"/>
    </row>
    <row r="2597" spans="4:4">
      <c r="D2597" s="1"/>
    </row>
    <row r="2598" spans="4:4">
      <c r="D2598" s="1"/>
    </row>
    <row r="2599" spans="4:4">
      <c r="D2599" s="1"/>
    </row>
    <row r="2600" spans="4:4">
      <c r="D2600" s="1"/>
    </row>
    <row r="2601" spans="4:4">
      <c r="D2601" s="1"/>
    </row>
    <row r="2602" spans="4:4">
      <c r="D2602" s="1"/>
    </row>
    <row r="2603" spans="4:4">
      <c r="D2603" s="1"/>
    </row>
    <row r="2604" spans="4:4">
      <c r="D2604" s="1"/>
    </row>
    <row r="2605" spans="4:4">
      <c r="D2605" s="1"/>
    </row>
    <row r="2606" spans="4:4">
      <c r="D2606" s="1"/>
    </row>
    <row r="2607" spans="4:4">
      <c r="D2607" s="1"/>
    </row>
    <row r="2608" spans="4:4">
      <c r="D2608" s="1"/>
    </row>
    <row r="2609" spans="4:4">
      <c r="D2609" s="1"/>
    </row>
    <row r="2610" spans="4:4">
      <c r="D2610" s="1"/>
    </row>
    <row r="2611" spans="4:4">
      <c r="D2611" s="1"/>
    </row>
    <row r="2612" spans="4:4">
      <c r="D2612" s="1"/>
    </row>
    <row r="2613" spans="4:4">
      <c r="D2613" s="1"/>
    </row>
    <row r="2614" spans="4:4">
      <c r="D2614" s="1"/>
    </row>
    <row r="2615" spans="4:4">
      <c r="D2615" s="1"/>
    </row>
    <row r="2616" spans="4:4">
      <c r="D2616" s="1"/>
    </row>
    <row r="2617" spans="4:4">
      <c r="D2617" s="1"/>
    </row>
    <row r="2618" spans="4:4">
      <c r="D2618" s="1"/>
    </row>
    <row r="2619" spans="4:4">
      <c r="D2619" s="1"/>
    </row>
    <row r="2620" spans="4:4">
      <c r="D2620" s="1"/>
    </row>
    <row r="2621" spans="4:4">
      <c r="D2621" s="1"/>
    </row>
    <row r="2622" spans="4:4">
      <c r="D2622" s="1"/>
    </row>
    <row r="2623" spans="4:4">
      <c r="D2623" s="1"/>
    </row>
    <row r="2624" spans="4:4">
      <c r="D2624" s="1"/>
    </row>
    <row r="2625" spans="4:4">
      <c r="D2625" s="1"/>
    </row>
    <row r="2626" spans="4:4">
      <c r="D2626" s="1"/>
    </row>
    <row r="2627" spans="4:4">
      <c r="D2627" s="1"/>
    </row>
    <row r="2628" spans="4:4">
      <c r="D2628" s="1"/>
    </row>
    <row r="2629" spans="4:4">
      <c r="D2629" s="1"/>
    </row>
    <row r="2630" spans="4:4">
      <c r="D2630" s="1"/>
    </row>
    <row r="2631" spans="4:4">
      <c r="D2631" s="1"/>
    </row>
    <row r="2632" spans="4:4">
      <c r="D2632" s="1"/>
    </row>
    <row r="2633" spans="4:4">
      <c r="D2633" s="1"/>
    </row>
    <row r="2634" spans="4:4">
      <c r="D2634" s="1"/>
    </row>
    <row r="2635" spans="4:4">
      <c r="D2635" s="1"/>
    </row>
    <row r="2636" spans="4:4">
      <c r="D2636" s="1"/>
    </row>
    <row r="2637" spans="4:4">
      <c r="D2637" s="1"/>
    </row>
    <row r="2638" spans="4:4">
      <c r="D2638" s="1"/>
    </row>
    <row r="2639" spans="4:4">
      <c r="D2639" s="1"/>
    </row>
    <row r="2640" spans="4:4">
      <c r="D2640" s="1"/>
    </row>
    <row r="2641" spans="4:4">
      <c r="D2641" s="1"/>
    </row>
    <row r="2642" spans="4:4">
      <c r="D2642" s="1"/>
    </row>
    <row r="2643" spans="4:4">
      <c r="D2643" s="1"/>
    </row>
    <row r="2644" spans="4:4">
      <c r="D2644" s="1"/>
    </row>
    <row r="2645" spans="4:4">
      <c r="D2645" s="1"/>
    </row>
    <row r="2646" spans="4:4">
      <c r="D2646" s="1"/>
    </row>
    <row r="2647" spans="4:4">
      <c r="D2647" s="1"/>
    </row>
    <row r="2648" spans="4:4">
      <c r="D2648" s="1"/>
    </row>
    <row r="2649" spans="4:4">
      <c r="D2649" s="1"/>
    </row>
    <row r="2650" spans="4:4">
      <c r="D2650" s="1"/>
    </row>
    <row r="2651" spans="4:4">
      <c r="D2651" s="1"/>
    </row>
    <row r="2652" spans="4:4">
      <c r="D2652" s="1"/>
    </row>
    <row r="2653" spans="4:4">
      <c r="D2653" s="1"/>
    </row>
    <row r="2654" spans="4:4">
      <c r="D2654" s="1"/>
    </row>
    <row r="2655" spans="4:4">
      <c r="D2655" s="1"/>
    </row>
    <row r="2656" spans="4:4">
      <c r="D2656" s="1"/>
    </row>
    <row r="2657" spans="4:4">
      <c r="D2657" s="1"/>
    </row>
    <row r="2658" spans="4:4">
      <c r="D2658" s="1"/>
    </row>
    <row r="2659" spans="4:4">
      <c r="D2659" s="1"/>
    </row>
    <row r="2660" spans="4:4">
      <c r="D2660" s="1"/>
    </row>
    <row r="2661" spans="4:4">
      <c r="D2661" s="1"/>
    </row>
    <row r="2662" spans="4:4">
      <c r="D2662" s="1"/>
    </row>
    <row r="2663" spans="4:4">
      <c r="D2663" s="1"/>
    </row>
    <row r="2664" spans="4:4">
      <c r="D2664" s="1"/>
    </row>
    <row r="2665" spans="4:4">
      <c r="D2665" s="1"/>
    </row>
    <row r="2666" spans="4:4">
      <c r="D2666" s="1"/>
    </row>
    <row r="2667" spans="4:4">
      <c r="D2667" s="1"/>
    </row>
    <row r="2668" spans="4:4">
      <c r="D2668" s="1"/>
    </row>
    <row r="2669" spans="4:4">
      <c r="D2669" s="1"/>
    </row>
    <row r="2670" spans="4:4">
      <c r="D2670" s="1"/>
    </row>
    <row r="2671" spans="4:4">
      <c r="D2671" s="1"/>
    </row>
    <row r="2672" spans="4:4">
      <c r="D2672" s="1"/>
    </row>
    <row r="2673" spans="4:4">
      <c r="D2673" s="1"/>
    </row>
    <row r="2674" spans="4:4">
      <c r="D2674" s="1"/>
    </row>
    <row r="2675" spans="4:4">
      <c r="D2675" s="1"/>
    </row>
    <row r="2676" spans="4:4">
      <c r="D2676" s="1"/>
    </row>
    <row r="2677" spans="4:4">
      <c r="D2677" s="1"/>
    </row>
    <row r="2678" spans="4:4">
      <c r="D2678" s="1"/>
    </row>
    <row r="2679" spans="4:4">
      <c r="D2679" s="1"/>
    </row>
    <row r="2680" spans="4:4">
      <c r="D2680" s="1"/>
    </row>
    <row r="2681" spans="4:4">
      <c r="D2681" s="1"/>
    </row>
    <row r="2682" spans="4:4">
      <c r="D2682" s="1"/>
    </row>
    <row r="2683" spans="4:4">
      <c r="D2683" s="1"/>
    </row>
    <row r="2684" spans="4:4">
      <c r="D2684" s="1"/>
    </row>
    <row r="2685" spans="4:4">
      <c r="D2685" s="1"/>
    </row>
    <row r="2686" spans="4:4">
      <c r="D2686" s="1"/>
    </row>
    <row r="2687" spans="4:4">
      <c r="D2687" s="1"/>
    </row>
    <row r="2688" spans="4:4">
      <c r="D2688" s="1"/>
    </row>
    <row r="2689" spans="4:4">
      <c r="D2689" s="1"/>
    </row>
    <row r="2690" spans="4:4">
      <c r="D2690" s="1"/>
    </row>
    <row r="2691" spans="4:4">
      <c r="D2691" s="1"/>
    </row>
    <row r="2692" spans="4:4">
      <c r="D2692" s="1"/>
    </row>
    <row r="2693" spans="4:4">
      <c r="D2693" s="1"/>
    </row>
    <row r="2694" spans="4:4">
      <c r="D2694" s="1"/>
    </row>
    <row r="2695" spans="4:4">
      <c r="D2695" s="1"/>
    </row>
    <row r="2696" spans="4:4">
      <c r="D2696" s="1"/>
    </row>
    <row r="2697" spans="4:4">
      <c r="D2697" s="1"/>
    </row>
    <row r="2698" spans="4:4">
      <c r="D2698" s="1"/>
    </row>
    <row r="2699" spans="4:4">
      <c r="D2699" s="1"/>
    </row>
    <row r="2700" spans="4:4">
      <c r="D2700" s="1"/>
    </row>
    <row r="2701" spans="4:4">
      <c r="D2701" s="1"/>
    </row>
    <row r="2702" spans="4:4">
      <c r="D2702" s="1"/>
    </row>
    <row r="2703" spans="4:4">
      <c r="D2703" s="1"/>
    </row>
    <row r="2704" spans="4:4">
      <c r="D2704" s="1"/>
    </row>
    <row r="2705" spans="4:4">
      <c r="D2705" s="1"/>
    </row>
    <row r="2706" spans="4:4">
      <c r="D2706" s="1"/>
    </row>
    <row r="2707" spans="4:4">
      <c r="D2707" s="1"/>
    </row>
    <row r="2708" spans="4:4">
      <c r="D2708" s="1"/>
    </row>
    <row r="2709" spans="4:4">
      <c r="D2709" s="1"/>
    </row>
    <row r="2710" spans="4:4">
      <c r="D2710" s="1"/>
    </row>
    <row r="2711" spans="4:4">
      <c r="D2711" s="1"/>
    </row>
    <row r="2712" spans="4:4">
      <c r="D2712" s="1"/>
    </row>
    <row r="2713" spans="4:4">
      <c r="D2713" s="1"/>
    </row>
    <row r="2714" spans="4:4">
      <c r="D2714" s="1"/>
    </row>
    <row r="2715" spans="4:4">
      <c r="D2715" s="1"/>
    </row>
    <row r="2716" spans="4:4">
      <c r="D2716" s="1"/>
    </row>
    <row r="2717" spans="4:4">
      <c r="D2717" s="1"/>
    </row>
    <row r="2718" spans="4:4">
      <c r="D2718" s="1"/>
    </row>
    <row r="2719" spans="4:4">
      <c r="D2719" s="1"/>
    </row>
    <row r="2720" spans="4:4">
      <c r="D2720" s="1"/>
    </row>
    <row r="2721" spans="4:4">
      <c r="D2721" s="1"/>
    </row>
    <row r="2722" spans="4:4">
      <c r="D2722" s="1"/>
    </row>
    <row r="2723" spans="4:4">
      <c r="D2723" s="1"/>
    </row>
    <row r="2724" spans="4:4">
      <c r="D2724" s="1"/>
    </row>
    <row r="2725" spans="4:4">
      <c r="D2725" s="1"/>
    </row>
    <row r="2726" spans="4:4">
      <c r="D2726" s="1"/>
    </row>
    <row r="2727" spans="4:4">
      <c r="D2727" s="1"/>
    </row>
    <row r="2728" spans="4:4">
      <c r="D2728" s="1"/>
    </row>
    <row r="2729" spans="4:4">
      <c r="D2729" s="1"/>
    </row>
    <row r="2730" spans="4:4">
      <c r="D2730" s="1"/>
    </row>
    <row r="2731" spans="4:4">
      <c r="D2731" s="1"/>
    </row>
    <row r="2732" spans="4:4">
      <c r="D2732" s="1"/>
    </row>
    <row r="2733" spans="4:4">
      <c r="D2733" s="1"/>
    </row>
    <row r="2734" spans="4:4">
      <c r="D2734" s="1"/>
    </row>
    <row r="2735" spans="4:4">
      <c r="D2735" s="1"/>
    </row>
    <row r="2736" spans="4:4">
      <c r="D2736" s="1"/>
    </row>
    <row r="2737" spans="4:4">
      <c r="D2737" s="1"/>
    </row>
    <row r="2738" spans="4:4">
      <c r="D2738" s="1"/>
    </row>
    <row r="2739" spans="4:4">
      <c r="D2739" s="1"/>
    </row>
    <row r="2740" spans="4:4">
      <c r="D2740" s="1"/>
    </row>
    <row r="2741" spans="4:4">
      <c r="D2741" s="1"/>
    </row>
    <row r="2742" spans="4:4">
      <c r="D2742" s="1"/>
    </row>
    <row r="2743" spans="4:4">
      <c r="D2743" s="1"/>
    </row>
    <row r="2744" spans="4:4">
      <c r="D2744" s="1"/>
    </row>
    <row r="2745" spans="4:4">
      <c r="D2745" s="1"/>
    </row>
    <row r="2746" spans="4:4">
      <c r="D2746" s="1"/>
    </row>
    <row r="2747" spans="4:4">
      <c r="D2747" s="1"/>
    </row>
    <row r="2748" spans="4:4">
      <c r="D2748" s="1"/>
    </row>
    <row r="2749" spans="4:4">
      <c r="D2749" s="1"/>
    </row>
    <row r="2750" spans="4:4">
      <c r="D2750" s="1"/>
    </row>
    <row r="2751" spans="4:4">
      <c r="D2751" s="1"/>
    </row>
    <row r="2752" spans="4:4">
      <c r="D2752" s="1"/>
    </row>
    <row r="2753" spans="4:4">
      <c r="D2753" s="1"/>
    </row>
    <row r="2754" spans="4:4">
      <c r="D2754" s="1"/>
    </row>
    <row r="2755" spans="4:4">
      <c r="D2755" s="1"/>
    </row>
    <row r="2756" spans="4:4">
      <c r="D2756" s="1"/>
    </row>
    <row r="2757" spans="4:4">
      <c r="D2757" s="1"/>
    </row>
    <row r="2758" spans="4:4">
      <c r="D2758" s="1"/>
    </row>
    <row r="2759" spans="4:4">
      <c r="D2759" s="1"/>
    </row>
    <row r="2760" spans="4:4">
      <c r="D2760" s="1"/>
    </row>
    <row r="2761" spans="4:4">
      <c r="D2761" s="1"/>
    </row>
    <row r="2762" spans="4:4">
      <c r="D2762" s="1"/>
    </row>
    <row r="2763" spans="4:4">
      <c r="D2763" s="1"/>
    </row>
    <row r="2764" spans="4:4">
      <c r="D2764" s="1"/>
    </row>
    <row r="2765" spans="4:4">
      <c r="D2765" s="1"/>
    </row>
    <row r="2766" spans="4:4">
      <c r="D2766" s="1"/>
    </row>
    <row r="2767" spans="4:4">
      <c r="D2767" s="1"/>
    </row>
    <row r="2768" spans="4:4">
      <c r="D2768" s="1"/>
    </row>
    <row r="2769" spans="4:4">
      <c r="D2769" s="1"/>
    </row>
    <row r="2770" spans="4:4">
      <c r="D2770" s="1"/>
    </row>
    <row r="2771" spans="4:4">
      <c r="D2771" s="1"/>
    </row>
    <row r="2772" spans="4:4">
      <c r="D2772" s="1"/>
    </row>
    <row r="2773" spans="4:4">
      <c r="D2773" s="1"/>
    </row>
    <row r="2774" spans="4:4">
      <c r="D2774" s="1"/>
    </row>
    <row r="2775" spans="4:4">
      <c r="D2775" s="1"/>
    </row>
    <row r="2776" spans="4:4">
      <c r="D2776" s="1"/>
    </row>
    <row r="2777" spans="4:4">
      <c r="D2777" s="1"/>
    </row>
    <row r="2778" spans="4:4">
      <c r="D2778" s="1"/>
    </row>
    <row r="2779" spans="4:4">
      <c r="D2779" s="1"/>
    </row>
    <row r="2780" spans="4:4">
      <c r="D2780" s="1"/>
    </row>
    <row r="2781" spans="4:4">
      <c r="D2781" s="1"/>
    </row>
    <row r="2782" spans="4:4">
      <c r="D2782" s="1"/>
    </row>
    <row r="2783" spans="4:4">
      <c r="D2783" s="1"/>
    </row>
    <row r="2784" spans="4:4">
      <c r="D2784" s="1"/>
    </row>
    <row r="2785" spans="4:4">
      <c r="D2785" s="1"/>
    </row>
    <row r="2786" spans="4:4">
      <c r="D2786" s="1"/>
    </row>
    <row r="2787" spans="4:4">
      <c r="D2787" s="1"/>
    </row>
    <row r="2788" spans="4:4">
      <c r="D2788" s="1"/>
    </row>
    <row r="2789" spans="4:4">
      <c r="D2789" s="1"/>
    </row>
    <row r="2790" spans="4:4">
      <c r="D2790" s="1"/>
    </row>
    <row r="2791" spans="4:4">
      <c r="D2791" s="1"/>
    </row>
    <row r="2792" spans="4:4">
      <c r="D2792" s="1"/>
    </row>
    <row r="2793" spans="4:4">
      <c r="D2793" s="1"/>
    </row>
    <row r="2794" spans="4:4">
      <c r="D2794" s="1"/>
    </row>
    <row r="2795" spans="4:4">
      <c r="D2795" s="1"/>
    </row>
    <row r="2796" spans="4:4">
      <c r="D2796" s="1"/>
    </row>
    <row r="2797" spans="4:4">
      <c r="D2797" s="1"/>
    </row>
    <row r="2798" spans="4:4">
      <c r="D2798" s="1"/>
    </row>
    <row r="2799" spans="4:4">
      <c r="D2799" s="1"/>
    </row>
    <row r="2800" spans="4:4">
      <c r="D2800" s="1"/>
    </row>
    <row r="2801" spans="4:4">
      <c r="D2801" s="1"/>
    </row>
    <row r="2802" spans="4:4">
      <c r="D2802" s="1"/>
    </row>
    <row r="2803" spans="4:4">
      <c r="D2803" s="1"/>
    </row>
    <row r="2804" spans="4:4">
      <c r="D2804" s="1"/>
    </row>
    <row r="2805" spans="4:4">
      <c r="D2805" s="1"/>
    </row>
    <row r="2806" spans="4:4">
      <c r="D2806" s="1"/>
    </row>
    <row r="2807" spans="4:4">
      <c r="D2807" s="1"/>
    </row>
    <row r="2808" spans="4:4">
      <c r="D2808" s="1"/>
    </row>
    <row r="2809" spans="4:4">
      <c r="D2809" s="1"/>
    </row>
    <row r="2810" spans="4:4">
      <c r="D2810" s="1"/>
    </row>
    <row r="2811" spans="4:4">
      <c r="D2811" s="1"/>
    </row>
    <row r="2812" spans="4:4">
      <c r="D2812" s="1"/>
    </row>
    <row r="2813" spans="4:4">
      <c r="D2813" s="1"/>
    </row>
    <row r="2814" spans="4:4">
      <c r="D2814" s="1"/>
    </row>
    <row r="2815" spans="4:4">
      <c r="D2815" s="1"/>
    </row>
    <row r="2816" spans="4:4">
      <c r="D2816" s="1"/>
    </row>
    <row r="2817" spans="4:4">
      <c r="D2817" s="1"/>
    </row>
    <row r="2818" spans="4:4">
      <c r="D2818" s="1"/>
    </row>
    <row r="2819" spans="4:4">
      <c r="D2819" s="1"/>
    </row>
    <row r="2820" spans="4:4">
      <c r="D2820" s="1"/>
    </row>
    <row r="2821" spans="4:4">
      <c r="D2821" s="1"/>
    </row>
    <row r="2822" spans="4:4">
      <c r="D2822" s="1"/>
    </row>
    <row r="2823" spans="4:4">
      <c r="D2823" s="1"/>
    </row>
    <row r="2824" spans="4:4">
      <c r="D2824" s="1"/>
    </row>
    <row r="2825" spans="4:4">
      <c r="D2825" s="1"/>
    </row>
    <row r="2826" spans="4:4">
      <c r="D2826" s="1"/>
    </row>
    <row r="2827" spans="4:4">
      <c r="D2827" s="1"/>
    </row>
    <row r="2828" spans="4:4">
      <c r="D2828" s="1"/>
    </row>
    <row r="2829" spans="4:4">
      <c r="D2829" s="1"/>
    </row>
    <row r="2830" spans="4:4">
      <c r="D2830" s="1"/>
    </row>
    <row r="2831" spans="4:4">
      <c r="D2831" s="1"/>
    </row>
    <row r="2832" spans="4:4">
      <c r="D2832" s="1"/>
    </row>
    <row r="2833" spans="4:4">
      <c r="D2833" s="1"/>
    </row>
    <row r="2834" spans="4:4">
      <c r="D2834" s="1"/>
    </row>
    <row r="2835" spans="4:4">
      <c r="D2835" s="1"/>
    </row>
    <row r="2836" spans="4:4">
      <c r="D2836" s="1"/>
    </row>
    <row r="2837" spans="4:4">
      <c r="D2837" s="1"/>
    </row>
    <row r="2838" spans="4:4">
      <c r="D2838" s="1"/>
    </row>
    <row r="2839" spans="4:4">
      <c r="D2839" s="1"/>
    </row>
    <row r="2840" spans="4:4">
      <c r="D2840" s="1"/>
    </row>
    <row r="2841" spans="4:4">
      <c r="D2841" s="1"/>
    </row>
    <row r="2842" spans="4:4">
      <c r="D2842" s="1"/>
    </row>
    <row r="2843" spans="4:4">
      <c r="D2843" s="1"/>
    </row>
    <row r="2844" spans="4:4">
      <c r="D2844" s="1"/>
    </row>
    <row r="2845" spans="4:4">
      <c r="D2845" s="1"/>
    </row>
    <row r="2846" spans="4:4">
      <c r="D2846" s="1"/>
    </row>
    <row r="2847" spans="4:4">
      <c r="D2847" s="1"/>
    </row>
    <row r="2848" spans="4:4">
      <c r="D2848" s="1"/>
    </row>
    <row r="2849" spans="4:4">
      <c r="D2849" s="1"/>
    </row>
    <row r="2850" spans="4:4">
      <c r="D2850" s="1"/>
    </row>
    <row r="2851" spans="4:4">
      <c r="D2851" s="1"/>
    </row>
    <row r="2852" spans="4:4">
      <c r="D2852" s="1"/>
    </row>
    <row r="2853" spans="4:4">
      <c r="D2853" s="1"/>
    </row>
    <row r="2854" spans="4:4">
      <c r="D2854" s="1"/>
    </row>
    <row r="2855" spans="4:4">
      <c r="D2855" s="1"/>
    </row>
    <row r="2856" spans="4:4">
      <c r="D2856" s="1"/>
    </row>
    <row r="2857" spans="4:4">
      <c r="D2857" s="1"/>
    </row>
    <row r="2858" spans="4:4">
      <c r="D2858" s="1"/>
    </row>
    <row r="2859" spans="4:4">
      <c r="D2859" s="1"/>
    </row>
    <row r="2860" spans="4:4">
      <c r="D2860" s="1"/>
    </row>
    <row r="2861" spans="4:4">
      <c r="D2861" s="1"/>
    </row>
    <row r="2862" spans="4:4">
      <c r="D2862" s="1"/>
    </row>
    <row r="2863" spans="4:4">
      <c r="D2863" s="1"/>
    </row>
    <row r="2864" spans="4:4">
      <c r="D2864" s="1"/>
    </row>
    <row r="2865" spans="4:4">
      <c r="D2865" s="1"/>
    </row>
    <row r="2866" spans="4:4">
      <c r="D2866" s="1"/>
    </row>
    <row r="2867" spans="4:4">
      <c r="D2867" s="1"/>
    </row>
    <row r="2868" spans="4:4">
      <c r="D2868" s="1"/>
    </row>
    <row r="2869" spans="4:4">
      <c r="D2869" s="1"/>
    </row>
    <row r="2870" spans="4:4">
      <c r="D2870" s="1"/>
    </row>
    <row r="2871" spans="4:4">
      <c r="D2871" s="1"/>
    </row>
    <row r="2872" spans="4:4">
      <c r="D2872" s="1"/>
    </row>
    <row r="2873" spans="4:4">
      <c r="D2873" s="1"/>
    </row>
    <row r="2874" spans="4:4">
      <c r="D2874" s="1"/>
    </row>
    <row r="2875" spans="4:4">
      <c r="D2875" s="1"/>
    </row>
    <row r="2876" spans="4:4">
      <c r="D2876" s="1"/>
    </row>
    <row r="2877" spans="4:4">
      <c r="D2877" s="1"/>
    </row>
    <row r="2878" spans="4:4">
      <c r="D2878" s="1"/>
    </row>
    <row r="2879" spans="4:4">
      <c r="D2879" s="1"/>
    </row>
    <row r="2880" spans="4:4">
      <c r="D2880" s="1"/>
    </row>
    <row r="2881" spans="4:4">
      <c r="D2881" s="1"/>
    </row>
    <row r="2882" spans="4:4">
      <c r="D2882" s="1"/>
    </row>
    <row r="2883" spans="4:4">
      <c r="D2883" s="1"/>
    </row>
    <row r="2884" spans="4:4">
      <c r="D2884" s="1"/>
    </row>
    <row r="2885" spans="4:4">
      <c r="D2885" s="1"/>
    </row>
    <row r="2886" spans="4:4">
      <c r="D2886" s="1"/>
    </row>
    <row r="2887" spans="4:4">
      <c r="D2887" s="1"/>
    </row>
    <row r="2888" spans="4:4">
      <c r="D2888" s="1"/>
    </row>
    <row r="2889" spans="4:4">
      <c r="D2889" s="1"/>
    </row>
    <row r="2890" spans="4:4">
      <c r="D2890" s="1"/>
    </row>
    <row r="2891" spans="4:4">
      <c r="D2891" s="1"/>
    </row>
    <row r="2892" spans="4:4">
      <c r="D2892" s="1"/>
    </row>
    <row r="2893" spans="4:4">
      <c r="D2893" s="1"/>
    </row>
    <row r="2894" spans="4:4">
      <c r="D2894" s="1"/>
    </row>
    <row r="2895" spans="4:4">
      <c r="D2895" s="1"/>
    </row>
    <row r="2896" spans="4:4">
      <c r="D2896" s="1"/>
    </row>
    <row r="2897" spans="4:4">
      <c r="D2897" s="1"/>
    </row>
    <row r="2898" spans="4:4">
      <c r="D2898" s="1"/>
    </row>
    <row r="2899" spans="4:4">
      <c r="D2899" s="1"/>
    </row>
    <row r="2900" spans="4:4">
      <c r="D2900" s="1"/>
    </row>
    <row r="2901" spans="4:4">
      <c r="D2901" s="1"/>
    </row>
    <row r="2902" spans="4:4">
      <c r="D2902" s="1"/>
    </row>
    <row r="2903" spans="4:4">
      <c r="D2903" s="1"/>
    </row>
    <row r="2904" spans="4:4">
      <c r="D2904" s="1"/>
    </row>
    <row r="2905" spans="4:4">
      <c r="D2905" s="1"/>
    </row>
    <row r="2906" spans="4:4">
      <c r="D2906" s="1"/>
    </row>
    <row r="2907" spans="4:4">
      <c r="D2907" s="1"/>
    </row>
    <row r="2908" spans="4:4">
      <c r="D2908" s="1"/>
    </row>
    <row r="2909" spans="4:4">
      <c r="D2909" s="1"/>
    </row>
    <row r="2910" spans="4:4">
      <c r="D2910" s="1"/>
    </row>
    <row r="2911" spans="4:4">
      <c r="D2911" s="1"/>
    </row>
    <row r="2912" spans="4:4">
      <c r="D2912" s="1"/>
    </row>
    <row r="2913" spans="4:4">
      <c r="D2913" s="1"/>
    </row>
    <row r="2914" spans="4:4">
      <c r="D2914" s="1"/>
    </row>
    <row r="2915" spans="4:4">
      <c r="D2915" s="1"/>
    </row>
    <row r="2916" spans="4:4">
      <c r="D2916" s="1"/>
    </row>
    <row r="2917" spans="4:4">
      <c r="D2917" s="1"/>
    </row>
    <row r="2918" spans="4:4">
      <c r="D2918" s="1"/>
    </row>
    <row r="2919" spans="4:4">
      <c r="D2919" s="1"/>
    </row>
    <row r="2920" spans="4:4">
      <c r="D2920" s="1"/>
    </row>
    <row r="2921" spans="4:4">
      <c r="D2921" s="1"/>
    </row>
    <row r="2922" spans="4:4">
      <c r="D2922" s="1"/>
    </row>
    <row r="2923" spans="4:4">
      <c r="D2923" s="1"/>
    </row>
    <row r="2924" spans="4:4">
      <c r="D2924" s="1"/>
    </row>
    <row r="2925" spans="4:4">
      <c r="D2925" s="1"/>
    </row>
    <row r="2926" spans="4:4">
      <c r="D2926" s="1"/>
    </row>
    <row r="2927" spans="4:4">
      <c r="D2927" s="1"/>
    </row>
    <row r="2928" spans="4:4">
      <c r="D2928" s="1"/>
    </row>
    <row r="2929" spans="4:4">
      <c r="D2929" s="1"/>
    </row>
    <row r="2930" spans="4:4">
      <c r="D2930" s="1"/>
    </row>
    <row r="2931" spans="4:4">
      <c r="D2931" s="1"/>
    </row>
    <row r="2932" spans="4:4">
      <c r="D2932" s="1"/>
    </row>
    <row r="2933" spans="4:4">
      <c r="D2933" s="1"/>
    </row>
    <row r="2934" spans="4:4">
      <c r="D2934" s="1"/>
    </row>
    <row r="2935" spans="4:4">
      <c r="D2935" s="1"/>
    </row>
    <row r="2936" spans="4:4">
      <c r="D2936" s="1"/>
    </row>
    <row r="2937" spans="4:4">
      <c r="D2937" s="1"/>
    </row>
    <row r="2938" spans="4:4">
      <c r="D2938" s="1"/>
    </row>
    <row r="2939" spans="4:4">
      <c r="D2939" s="1"/>
    </row>
    <row r="2940" spans="4:4">
      <c r="D2940" s="1"/>
    </row>
    <row r="2941" spans="4:4">
      <c r="D2941" s="1"/>
    </row>
    <row r="2942" spans="4:4">
      <c r="D2942" s="1"/>
    </row>
    <row r="2943" spans="4:4">
      <c r="D2943" s="1"/>
    </row>
    <row r="2944" spans="4:4">
      <c r="D2944" s="1"/>
    </row>
    <row r="2945" spans="4:4">
      <c r="D2945" s="1"/>
    </row>
    <row r="2946" spans="4:4">
      <c r="D2946" s="1"/>
    </row>
    <row r="2947" spans="4:4">
      <c r="D2947" s="1"/>
    </row>
    <row r="2948" spans="4:4">
      <c r="D2948" s="1"/>
    </row>
    <row r="2949" spans="4:4">
      <c r="D2949" s="1"/>
    </row>
    <row r="2950" spans="4:4">
      <c r="D2950" s="1"/>
    </row>
    <row r="2951" spans="4:4">
      <c r="D2951" s="1"/>
    </row>
    <row r="2952" spans="4:4">
      <c r="D2952" s="1"/>
    </row>
    <row r="2953" spans="4:4">
      <c r="D2953" s="1"/>
    </row>
    <row r="2954" spans="4:4">
      <c r="D2954" s="1"/>
    </row>
    <row r="2955" spans="4:4">
      <c r="D2955" s="1"/>
    </row>
    <row r="2956" spans="4:4">
      <c r="D2956" s="1"/>
    </row>
    <row r="2957" spans="4:4">
      <c r="D2957" s="1"/>
    </row>
    <row r="2958" spans="4:4">
      <c r="D2958" s="1"/>
    </row>
    <row r="2959" spans="4:4">
      <c r="D2959" s="1"/>
    </row>
    <row r="2960" spans="4:4">
      <c r="D2960" s="1"/>
    </row>
    <row r="2961" spans="4:4">
      <c r="D2961" s="1"/>
    </row>
    <row r="2962" spans="4:4">
      <c r="D2962" s="1"/>
    </row>
    <row r="2963" spans="4:4">
      <c r="D2963" s="1"/>
    </row>
    <row r="2964" spans="4:4">
      <c r="D2964" s="1"/>
    </row>
    <row r="2965" spans="4:4">
      <c r="D2965" s="1"/>
    </row>
    <row r="2966" spans="4:4">
      <c r="D2966" s="1"/>
    </row>
    <row r="2967" spans="4:4">
      <c r="D2967" s="1"/>
    </row>
    <row r="2968" spans="4:4">
      <c r="D2968" s="1"/>
    </row>
    <row r="2969" spans="4:4">
      <c r="D2969" s="1"/>
    </row>
    <row r="2970" spans="4:4">
      <c r="D2970" s="1"/>
    </row>
    <row r="2971" spans="4:4">
      <c r="D2971" s="1"/>
    </row>
    <row r="2972" spans="4:4">
      <c r="D2972" s="1"/>
    </row>
    <row r="2973" spans="4:4">
      <c r="D2973" s="1"/>
    </row>
    <row r="2974" spans="4:4">
      <c r="D2974" s="1"/>
    </row>
    <row r="2975" spans="4:4">
      <c r="D2975" s="1"/>
    </row>
    <row r="2976" spans="4:4">
      <c r="D2976" s="1"/>
    </row>
    <row r="2977" spans="4:4">
      <c r="D2977" s="1"/>
    </row>
    <row r="2978" spans="4:4">
      <c r="D2978" s="1"/>
    </row>
    <row r="2979" spans="4:4">
      <c r="D2979" s="1"/>
    </row>
    <row r="2980" spans="4:4">
      <c r="D2980" s="1"/>
    </row>
    <row r="2981" spans="4:4">
      <c r="D2981" s="1"/>
    </row>
    <row r="2982" spans="4:4">
      <c r="D2982" s="1"/>
    </row>
    <row r="2983" spans="4:4">
      <c r="D2983" s="1"/>
    </row>
    <row r="2984" spans="4:4">
      <c r="D2984" s="1"/>
    </row>
    <row r="2985" spans="4:4">
      <c r="D2985" s="1"/>
    </row>
    <row r="2986" spans="4:4">
      <c r="D2986" s="1"/>
    </row>
    <row r="2987" spans="4:4">
      <c r="D2987" s="1"/>
    </row>
    <row r="2988" spans="4:4">
      <c r="D2988" s="1"/>
    </row>
    <row r="2989" spans="4:4">
      <c r="D2989" s="1"/>
    </row>
    <row r="2990" spans="4:4">
      <c r="D2990" s="1"/>
    </row>
    <row r="2991" spans="4:4">
      <c r="D2991" s="1"/>
    </row>
    <row r="2992" spans="4:4">
      <c r="D2992" s="1"/>
    </row>
    <row r="2993" spans="4:4">
      <c r="D2993" s="1"/>
    </row>
    <row r="2994" spans="4:4">
      <c r="D2994" s="1"/>
    </row>
    <row r="2995" spans="4:4">
      <c r="D2995" s="1"/>
    </row>
    <row r="2996" spans="4:4">
      <c r="D2996" s="1"/>
    </row>
    <row r="2997" spans="4:4">
      <c r="D2997" s="1"/>
    </row>
    <row r="2998" spans="4:4">
      <c r="D2998" s="1"/>
    </row>
    <row r="2999" spans="4:4">
      <c r="D2999" s="1"/>
    </row>
    <row r="3000" spans="4:4">
      <c r="D3000" s="1"/>
    </row>
    <row r="3001" spans="4:4">
      <c r="D3001" s="1"/>
    </row>
    <row r="3002" spans="4:4">
      <c r="D3002" s="1"/>
    </row>
    <row r="3003" spans="4:4">
      <c r="D3003" s="1"/>
    </row>
    <row r="3004" spans="4:4">
      <c r="D3004" s="1"/>
    </row>
    <row r="3005" spans="4:4">
      <c r="D3005" s="1"/>
    </row>
    <row r="3006" spans="4:4">
      <c r="D3006" s="1"/>
    </row>
    <row r="3007" spans="4:4">
      <c r="D3007" s="1"/>
    </row>
    <row r="3008" spans="4:4">
      <c r="D3008" s="1"/>
    </row>
    <row r="3009" spans="4:4">
      <c r="D3009" s="1"/>
    </row>
    <row r="3010" spans="4:4">
      <c r="D3010" s="1"/>
    </row>
    <row r="3011" spans="4:4">
      <c r="D3011" s="1"/>
    </row>
    <row r="3012" spans="4:4">
      <c r="D3012" s="1"/>
    </row>
    <row r="3013" spans="4:4">
      <c r="D3013" s="1"/>
    </row>
    <row r="3014" spans="4:4">
      <c r="D3014" s="1"/>
    </row>
    <row r="3015" spans="4:4">
      <c r="D3015" s="1"/>
    </row>
    <row r="3016" spans="4:4">
      <c r="D3016" s="1"/>
    </row>
    <row r="3017" spans="4:4">
      <c r="D3017" s="1"/>
    </row>
    <row r="3018" spans="4:4">
      <c r="D3018" s="1"/>
    </row>
    <row r="3019" spans="4:4">
      <c r="D3019" s="1"/>
    </row>
    <row r="3020" spans="4:4">
      <c r="D3020" s="1"/>
    </row>
    <row r="3021" spans="4:4">
      <c r="D3021" s="1"/>
    </row>
    <row r="3022" spans="4:4">
      <c r="D3022" s="1"/>
    </row>
    <row r="3023" spans="4:4">
      <c r="D3023" s="1"/>
    </row>
    <row r="3024" spans="4:4">
      <c r="D3024" s="1"/>
    </row>
    <row r="3025" spans="4:4">
      <c r="D3025" s="1"/>
    </row>
    <row r="3026" spans="4:4">
      <c r="D3026" s="1"/>
    </row>
    <row r="3027" spans="4:4">
      <c r="D3027" s="1"/>
    </row>
    <row r="3028" spans="4:4">
      <c r="D3028" s="1"/>
    </row>
    <row r="3029" spans="4:4">
      <c r="D3029" s="1"/>
    </row>
    <row r="3030" spans="4:4">
      <c r="D3030" s="1"/>
    </row>
    <row r="3031" spans="4:4">
      <c r="D3031" s="1"/>
    </row>
    <row r="3032" spans="4:4">
      <c r="D3032" s="1"/>
    </row>
    <row r="3033" spans="4:4">
      <c r="D3033" s="1"/>
    </row>
    <row r="3034" spans="4:4">
      <c r="D3034" s="1"/>
    </row>
    <row r="3035" spans="4:4">
      <c r="D3035" s="1"/>
    </row>
    <row r="3036" spans="4:4">
      <c r="D3036" s="1"/>
    </row>
    <row r="3037" spans="4:4">
      <c r="D3037" s="1"/>
    </row>
    <row r="3038" spans="4:4">
      <c r="D3038" s="1"/>
    </row>
    <row r="3039" spans="4:4">
      <c r="D3039" s="1"/>
    </row>
    <row r="3040" spans="4:4">
      <c r="D3040" s="1"/>
    </row>
    <row r="3041" spans="4:4">
      <c r="D3041" s="1"/>
    </row>
    <row r="3042" spans="4:4">
      <c r="D3042" s="1"/>
    </row>
    <row r="3043" spans="4:4">
      <c r="D3043" s="1"/>
    </row>
    <row r="3044" spans="4:4">
      <c r="D3044" s="1"/>
    </row>
    <row r="3045" spans="4:4">
      <c r="D3045" s="1"/>
    </row>
    <row r="3046" spans="4:4">
      <c r="D3046" s="1"/>
    </row>
    <row r="3047" spans="4:4">
      <c r="D3047" s="1"/>
    </row>
    <row r="3048" spans="4:4">
      <c r="D3048" s="1"/>
    </row>
    <row r="3049" spans="4:4">
      <c r="D3049" s="1"/>
    </row>
    <row r="3050" spans="4:4">
      <c r="D3050" s="1"/>
    </row>
    <row r="3051" spans="4:4">
      <c r="D3051" s="1"/>
    </row>
    <row r="3052" spans="4:4">
      <c r="D3052" s="1"/>
    </row>
    <row r="3053" spans="4:4">
      <c r="D3053" s="1"/>
    </row>
    <row r="3054" spans="4:4">
      <c r="D3054" s="1"/>
    </row>
    <row r="3055" spans="4:4">
      <c r="D3055" s="1"/>
    </row>
    <row r="3056" spans="4:4">
      <c r="D3056" s="1"/>
    </row>
    <row r="3057" spans="4:4">
      <c r="D3057" s="1"/>
    </row>
    <row r="3058" spans="4:4">
      <c r="D3058" s="1"/>
    </row>
    <row r="3059" spans="4:4">
      <c r="D3059" s="1"/>
    </row>
    <row r="3060" spans="4:4">
      <c r="D3060" s="1"/>
    </row>
    <row r="3061" spans="4:4">
      <c r="D3061" s="1"/>
    </row>
    <row r="3062" spans="4:4">
      <c r="D3062" s="1"/>
    </row>
    <row r="3063" spans="4:4">
      <c r="D3063" s="1"/>
    </row>
    <row r="3064" spans="4:4">
      <c r="D3064" s="1"/>
    </row>
    <row r="3065" spans="4:4">
      <c r="D3065" s="1"/>
    </row>
    <row r="3066" spans="4:4">
      <c r="D3066" s="1"/>
    </row>
    <row r="3067" spans="4:4">
      <c r="D3067" s="1"/>
    </row>
    <row r="3068" spans="4:4">
      <c r="D3068" s="1"/>
    </row>
    <row r="3069" spans="4:4">
      <c r="D3069" s="1"/>
    </row>
    <row r="3070" spans="4:4">
      <c r="D3070" s="1"/>
    </row>
    <row r="3071" spans="4:4">
      <c r="D3071" s="1"/>
    </row>
    <row r="3072" spans="4:4">
      <c r="D3072" s="1"/>
    </row>
    <row r="3073" spans="4:4">
      <c r="D3073" s="1"/>
    </row>
    <row r="3074" spans="4:4">
      <c r="D3074" s="1"/>
    </row>
    <row r="3075" spans="4:4">
      <c r="D3075" s="1"/>
    </row>
    <row r="3076" spans="4:4">
      <c r="D3076" s="1"/>
    </row>
    <row r="3077" spans="4:4">
      <c r="D3077" s="1"/>
    </row>
    <row r="3078" spans="4:4">
      <c r="D3078" s="1"/>
    </row>
    <row r="3079" spans="4:4">
      <c r="D3079" s="1"/>
    </row>
    <row r="3080" spans="4:4">
      <c r="D3080" s="1"/>
    </row>
    <row r="3081" spans="4:4">
      <c r="D3081" s="1"/>
    </row>
    <row r="3082" spans="4:4">
      <c r="D3082" s="1"/>
    </row>
    <row r="3083" spans="4:4">
      <c r="D3083" s="1"/>
    </row>
    <row r="3084" spans="4:4">
      <c r="D3084" s="1"/>
    </row>
    <row r="3085" spans="4:4">
      <c r="D3085" s="1"/>
    </row>
    <row r="3086" spans="4:4">
      <c r="D3086" s="1"/>
    </row>
    <row r="3087" spans="4:4">
      <c r="D3087" s="1"/>
    </row>
    <row r="3088" spans="4:4">
      <c r="D3088" s="1"/>
    </row>
    <row r="3089" spans="4:4">
      <c r="D3089" s="1"/>
    </row>
    <row r="3090" spans="4:4">
      <c r="D3090" s="1"/>
    </row>
    <row r="3091" spans="4:4">
      <c r="D3091" s="1"/>
    </row>
    <row r="3092" spans="4:4">
      <c r="D3092" s="1"/>
    </row>
    <row r="3093" spans="4:4">
      <c r="D3093" s="1"/>
    </row>
    <row r="3094" spans="4:4">
      <c r="D3094" s="1"/>
    </row>
    <row r="3095" spans="4:4">
      <c r="D3095" s="1"/>
    </row>
    <row r="3096" spans="4:4">
      <c r="D3096" s="1"/>
    </row>
    <row r="3097" spans="4:4">
      <c r="D3097" s="1"/>
    </row>
    <row r="3098" spans="4:4">
      <c r="D3098" s="1"/>
    </row>
    <row r="3099" spans="4:4">
      <c r="D3099" s="1"/>
    </row>
    <row r="3100" spans="4:4">
      <c r="D3100" s="1"/>
    </row>
    <row r="3101" spans="4:4">
      <c r="D3101" s="1"/>
    </row>
    <row r="3102" spans="4:4">
      <c r="D3102" s="1"/>
    </row>
    <row r="3103" spans="4:4">
      <c r="D3103" s="1"/>
    </row>
    <row r="3104" spans="4:4">
      <c r="D3104" s="1"/>
    </row>
    <row r="3105" spans="4:4">
      <c r="D3105" s="1"/>
    </row>
    <row r="3106" spans="4:4">
      <c r="D3106" s="1"/>
    </row>
    <row r="3107" spans="4:4">
      <c r="D3107" s="1"/>
    </row>
    <row r="3108" spans="4:4">
      <c r="D3108" s="1"/>
    </row>
    <row r="3109" spans="4:4">
      <c r="D3109" s="1"/>
    </row>
    <row r="3110" spans="4:4">
      <c r="D3110" s="1"/>
    </row>
    <row r="3111" spans="4:4">
      <c r="D3111" s="1"/>
    </row>
    <row r="3112" spans="4:4">
      <c r="D3112" s="1"/>
    </row>
    <row r="3113" spans="4:4">
      <c r="D3113" s="1"/>
    </row>
    <row r="3114" spans="4:4">
      <c r="D3114" s="1"/>
    </row>
    <row r="3115" spans="4:4">
      <c r="D3115" s="1"/>
    </row>
    <row r="3116" spans="4:4">
      <c r="D3116" s="1"/>
    </row>
    <row r="3117" spans="4:4">
      <c r="D3117" s="1"/>
    </row>
    <row r="3118" spans="4:4">
      <c r="D3118" s="1"/>
    </row>
    <row r="3119" spans="4:4">
      <c r="D3119" s="1"/>
    </row>
    <row r="3120" spans="4:4">
      <c r="D3120" s="1"/>
    </row>
    <row r="3121" spans="4:4">
      <c r="D3121" s="1"/>
    </row>
    <row r="3122" spans="4:4">
      <c r="D3122" s="1"/>
    </row>
    <row r="3123" spans="4:4">
      <c r="D3123" s="1"/>
    </row>
    <row r="3124" spans="4:4">
      <c r="D3124" s="1"/>
    </row>
    <row r="3125" spans="4:4">
      <c r="D3125" s="1"/>
    </row>
    <row r="3126" spans="4:4">
      <c r="D3126" s="1"/>
    </row>
    <row r="3127" spans="4:4">
      <c r="D3127" s="1"/>
    </row>
    <row r="3128" spans="4:4">
      <c r="D3128" s="1"/>
    </row>
    <row r="3129" spans="4:4">
      <c r="D3129" s="1"/>
    </row>
    <row r="3130" spans="4:4">
      <c r="D3130" s="1"/>
    </row>
    <row r="3131" spans="4:4">
      <c r="D3131" s="1"/>
    </row>
    <row r="3132" spans="4:4">
      <c r="D3132" s="1"/>
    </row>
    <row r="3133" spans="4:4">
      <c r="D3133" s="1"/>
    </row>
    <row r="3134" spans="4:4">
      <c r="D3134" s="1"/>
    </row>
    <row r="3135" spans="4:4">
      <c r="D3135" s="1"/>
    </row>
    <row r="3136" spans="4:4">
      <c r="D3136" s="1"/>
    </row>
    <row r="3137" spans="4:4">
      <c r="D3137" s="1"/>
    </row>
    <row r="3138" spans="4:4">
      <c r="D3138" s="1"/>
    </row>
    <row r="3139" spans="4:4">
      <c r="D3139" s="1"/>
    </row>
    <row r="3140" spans="4:4">
      <c r="D3140" s="1"/>
    </row>
    <row r="3141" spans="4:4">
      <c r="D3141" s="1"/>
    </row>
    <row r="3142" spans="4:4">
      <c r="D3142" s="1"/>
    </row>
    <row r="3143" spans="4:4">
      <c r="D3143" s="1"/>
    </row>
    <row r="3144" spans="4:4">
      <c r="D3144" s="1"/>
    </row>
    <row r="3145" spans="4:4">
      <c r="D3145" s="1"/>
    </row>
    <row r="3146" spans="4:4">
      <c r="D3146" s="1"/>
    </row>
    <row r="3147" spans="4:4">
      <c r="D3147" s="1"/>
    </row>
    <row r="3148" spans="4:4">
      <c r="D3148" s="1"/>
    </row>
    <row r="3149" spans="4:4">
      <c r="D3149" s="1"/>
    </row>
    <row r="3150" spans="4:4">
      <c r="D3150" s="1"/>
    </row>
    <row r="3151" spans="4:4">
      <c r="D3151" s="1"/>
    </row>
    <row r="3152" spans="4:4">
      <c r="D3152" s="1"/>
    </row>
    <row r="3153" spans="4:4">
      <c r="D3153" s="1"/>
    </row>
    <row r="3154" spans="4:4">
      <c r="D3154" s="1"/>
    </row>
    <row r="3155" spans="4:4">
      <c r="D3155" s="1"/>
    </row>
    <row r="3156" spans="4:4">
      <c r="D3156" s="1"/>
    </row>
    <row r="3157" spans="4:4">
      <c r="D3157" s="1"/>
    </row>
    <row r="3158" spans="4:4">
      <c r="D3158" s="1"/>
    </row>
    <row r="3159" spans="4:4">
      <c r="D3159" s="1"/>
    </row>
    <row r="3160" spans="4:4">
      <c r="D3160" s="1"/>
    </row>
    <row r="3161" spans="4:4">
      <c r="D3161" s="1"/>
    </row>
    <row r="3162" spans="4:4">
      <c r="D3162" s="1"/>
    </row>
    <row r="3163" spans="4:4">
      <c r="D3163" s="1"/>
    </row>
    <row r="3164" spans="4:4">
      <c r="D3164" s="1"/>
    </row>
    <row r="3165" spans="4:4">
      <c r="D3165" s="1"/>
    </row>
    <row r="3166" spans="4:4">
      <c r="D3166" s="1"/>
    </row>
    <row r="3167" spans="4:4">
      <c r="D3167" s="1"/>
    </row>
    <row r="3168" spans="4:4">
      <c r="D3168" s="1"/>
    </row>
    <row r="3169" spans="4:4">
      <c r="D3169" s="1"/>
    </row>
    <row r="3170" spans="4:4">
      <c r="D3170" s="1"/>
    </row>
    <row r="3171" spans="4:4">
      <c r="D3171" s="1"/>
    </row>
    <row r="3172" spans="4:4">
      <c r="D3172" s="1"/>
    </row>
    <row r="3173" spans="4:4">
      <c r="D3173" s="1"/>
    </row>
    <row r="3174" spans="4:4">
      <c r="D3174" s="1"/>
    </row>
    <row r="3175" spans="4:4">
      <c r="D3175" s="1"/>
    </row>
    <row r="3176" spans="4:4">
      <c r="D3176" s="1"/>
    </row>
    <row r="3177" spans="4:4">
      <c r="D3177" s="1"/>
    </row>
    <row r="3178" spans="4:4">
      <c r="D3178" s="1"/>
    </row>
    <row r="3179" spans="4:4">
      <c r="D3179" s="1"/>
    </row>
    <row r="3180" spans="4:4">
      <c r="D3180" s="1"/>
    </row>
    <row r="3181" spans="4:4">
      <c r="D3181" s="1"/>
    </row>
    <row r="3182" spans="4:4">
      <c r="D3182" s="1"/>
    </row>
    <row r="3183" spans="4:4">
      <c r="D3183" s="1"/>
    </row>
    <row r="3184" spans="4:4">
      <c r="D3184" s="1"/>
    </row>
    <row r="3185" spans="4:4">
      <c r="D3185" s="1"/>
    </row>
    <row r="3186" spans="4:4">
      <c r="D3186" s="1"/>
    </row>
    <row r="3187" spans="4:4">
      <c r="D3187" s="1"/>
    </row>
    <row r="3188" spans="4:4">
      <c r="D3188" s="1"/>
    </row>
    <row r="3189" spans="4:4">
      <c r="D3189" s="1"/>
    </row>
    <row r="3190" spans="4:4">
      <c r="D3190" s="1"/>
    </row>
    <row r="3191" spans="4:4">
      <c r="D3191" s="1"/>
    </row>
    <row r="3192" spans="4:4">
      <c r="D3192" s="1"/>
    </row>
    <row r="3193" spans="4:4">
      <c r="D3193" s="1"/>
    </row>
    <row r="3194" spans="4:4">
      <c r="D3194" s="1"/>
    </row>
    <row r="3195" spans="4:4">
      <c r="D3195" s="1"/>
    </row>
    <row r="3196" spans="4:4">
      <c r="D3196" s="1"/>
    </row>
    <row r="3197" spans="4:4">
      <c r="D3197" s="1"/>
    </row>
    <row r="3198" spans="4:4">
      <c r="D3198" s="1"/>
    </row>
    <row r="3199" spans="4:4">
      <c r="D3199" s="1"/>
    </row>
    <row r="3200" spans="4:4">
      <c r="D3200" s="1"/>
    </row>
    <row r="3201" spans="4:4">
      <c r="D3201" s="1"/>
    </row>
    <row r="3202" spans="4:4">
      <c r="D3202" s="1"/>
    </row>
    <row r="3203" spans="4:4">
      <c r="D3203" s="1"/>
    </row>
    <row r="3204" spans="4:4">
      <c r="D3204" s="1"/>
    </row>
    <row r="3205" spans="4:4">
      <c r="D3205" s="1"/>
    </row>
    <row r="3206" spans="4:4">
      <c r="D3206" s="1"/>
    </row>
    <row r="3207" spans="4:4">
      <c r="D3207" s="1"/>
    </row>
    <row r="3208" spans="4:4">
      <c r="D3208" s="1"/>
    </row>
    <row r="3209" spans="4:4">
      <c r="D3209" s="1"/>
    </row>
    <row r="3210" spans="4:4">
      <c r="D3210" s="1"/>
    </row>
    <row r="3211" spans="4:4">
      <c r="D3211" s="1"/>
    </row>
    <row r="3212" spans="4:4">
      <c r="D3212" s="1"/>
    </row>
    <row r="3213" spans="4:4">
      <c r="D3213" s="1"/>
    </row>
    <row r="3214" spans="4:4">
      <c r="D3214" s="1"/>
    </row>
    <row r="3215" spans="4:4">
      <c r="D3215" s="1"/>
    </row>
    <row r="3216" spans="4:4">
      <c r="D3216" s="1"/>
    </row>
    <row r="3217" spans="4:4">
      <c r="D3217" s="1"/>
    </row>
    <row r="3218" spans="4:4">
      <c r="D3218" s="1"/>
    </row>
    <row r="3219" spans="4:4">
      <c r="D3219" s="1"/>
    </row>
    <row r="3220" spans="4:4">
      <c r="D3220" s="1"/>
    </row>
    <row r="3221" spans="4:4">
      <c r="D3221" s="1"/>
    </row>
    <row r="3222" spans="4:4">
      <c r="D3222" s="1"/>
    </row>
    <row r="3223" spans="4:4">
      <c r="D3223" s="1"/>
    </row>
    <row r="3224" spans="4:4">
      <c r="D3224" s="1"/>
    </row>
    <row r="3225" spans="4:4">
      <c r="D3225" s="1"/>
    </row>
    <row r="3226" spans="4:4">
      <c r="D3226" s="1"/>
    </row>
    <row r="3227" spans="4:4">
      <c r="D3227" s="1"/>
    </row>
    <row r="3228" spans="4:4">
      <c r="D3228" s="1"/>
    </row>
    <row r="3229" spans="4:4">
      <c r="D3229" s="1"/>
    </row>
    <row r="3230" spans="4:4">
      <c r="D3230" s="1"/>
    </row>
    <row r="3231" spans="4:4">
      <c r="D3231" s="1"/>
    </row>
    <row r="3232" spans="4:4">
      <c r="D3232" s="1"/>
    </row>
    <row r="3233" spans="4:4">
      <c r="D3233" s="1"/>
    </row>
    <row r="3234" spans="4:4">
      <c r="D3234" s="1"/>
    </row>
    <row r="3235" spans="4:4">
      <c r="D3235" s="1"/>
    </row>
    <row r="3236" spans="4:4">
      <c r="D3236" s="1"/>
    </row>
    <row r="3237" spans="4:4">
      <c r="D3237" s="1"/>
    </row>
    <row r="3238" spans="4:4">
      <c r="D3238" s="1"/>
    </row>
    <row r="3239" spans="4:4">
      <c r="D3239" s="1"/>
    </row>
    <row r="3240" spans="4:4">
      <c r="D3240" s="1"/>
    </row>
    <row r="3241" spans="4:4">
      <c r="D3241" s="1"/>
    </row>
    <row r="3242" spans="4:4">
      <c r="D3242" s="1"/>
    </row>
    <row r="3243" spans="4:4">
      <c r="D3243" s="1"/>
    </row>
    <row r="3244" spans="4:4">
      <c r="D3244" s="1"/>
    </row>
    <row r="3245" spans="4:4">
      <c r="D3245" s="1"/>
    </row>
    <row r="3246" spans="4:4">
      <c r="D3246" s="1"/>
    </row>
    <row r="3247" spans="4:4">
      <c r="D3247" s="1"/>
    </row>
    <row r="3248" spans="4:4">
      <c r="D3248" s="1"/>
    </row>
    <row r="3249" spans="4:4">
      <c r="D3249" s="1"/>
    </row>
    <row r="3250" spans="4:4">
      <c r="D3250" s="1"/>
    </row>
    <row r="3251" spans="4:4">
      <c r="D3251" s="1"/>
    </row>
    <row r="3252" spans="4:4">
      <c r="D3252" s="1"/>
    </row>
    <row r="3253" spans="4:4">
      <c r="D3253" s="1"/>
    </row>
    <row r="3254" spans="4:4">
      <c r="D3254" s="1"/>
    </row>
    <row r="3255" spans="4:4">
      <c r="D3255" s="1"/>
    </row>
    <row r="3256" spans="4:4">
      <c r="D3256" s="1"/>
    </row>
    <row r="3257" spans="4:4">
      <c r="D3257" s="1"/>
    </row>
    <row r="3258" spans="4:4">
      <c r="D3258" s="1"/>
    </row>
    <row r="3259" spans="4:4">
      <c r="D3259" s="1"/>
    </row>
    <row r="3260" spans="4:4">
      <c r="D3260" s="1"/>
    </row>
    <row r="3261" spans="4:4">
      <c r="D3261" s="1"/>
    </row>
    <row r="3262" spans="4:4">
      <c r="D3262" s="1"/>
    </row>
    <row r="3263" spans="4:4">
      <c r="D3263" s="1"/>
    </row>
    <row r="3264" spans="4:4">
      <c r="D3264" s="1"/>
    </row>
    <row r="3265" spans="4:4">
      <c r="D3265" s="1"/>
    </row>
    <row r="3266" spans="4:4">
      <c r="D3266" s="1"/>
    </row>
    <row r="3267" spans="4:4">
      <c r="D3267" s="1"/>
    </row>
    <row r="3268" spans="4:4">
      <c r="D3268" s="1"/>
    </row>
    <row r="3269" spans="4:4">
      <c r="D3269" s="1"/>
    </row>
    <row r="3270" spans="4:4">
      <c r="D3270" s="1"/>
    </row>
    <row r="3271" spans="4:4">
      <c r="D3271" s="1"/>
    </row>
    <row r="3272" spans="4:4">
      <c r="D3272" s="1"/>
    </row>
    <row r="3273" spans="4:4">
      <c r="D3273" s="1"/>
    </row>
    <row r="3274" spans="4:4">
      <c r="D3274" s="1"/>
    </row>
    <row r="3275" spans="4:4">
      <c r="D3275" s="1"/>
    </row>
    <row r="3276" spans="4:4">
      <c r="D3276" s="1"/>
    </row>
    <row r="3277" spans="4:4">
      <c r="D3277" s="1"/>
    </row>
    <row r="3278" spans="4:4">
      <c r="D3278" s="1"/>
    </row>
    <row r="3279" spans="4:4">
      <c r="D3279" s="1"/>
    </row>
    <row r="3280" spans="4:4">
      <c r="D3280" s="1"/>
    </row>
    <row r="3281" spans="4:4">
      <c r="D3281" s="1"/>
    </row>
    <row r="3282" spans="4:4">
      <c r="D3282" s="1"/>
    </row>
    <row r="3283" spans="4:4">
      <c r="D3283" s="1"/>
    </row>
    <row r="3284" spans="4:4">
      <c r="D3284" s="1"/>
    </row>
    <row r="3285" spans="4:4">
      <c r="D3285" s="1"/>
    </row>
    <row r="3286" spans="4:4">
      <c r="D3286" s="1"/>
    </row>
    <row r="3287" spans="4:4">
      <c r="D3287" s="1"/>
    </row>
    <row r="3288" spans="4:4">
      <c r="D3288" s="1"/>
    </row>
    <row r="3289" spans="4:4">
      <c r="D3289" s="1"/>
    </row>
    <row r="3290" spans="4:4">
      <c r="D3290" s="1"/>
    </row>
    <row r="3291" spans="4:4">
      <c r="D3291" s="1"/>
    </row>
    <row r="3292" spans="4:4">
      <c r="D3292" s="1"/>
    </row>
    <row r="3293" spans="4:4">
      <c r="D3293" s="1"/>
    </row>
    <row r="3294" spans="4:4">
      <c r="D3294" s="1"/>
    </row>
    <row r="3295" spans="4:4">
      <c r="D3295" s="1"/>
    </row>
    <row r="3296" spans="4:4">
      <c r="D3296" s="1"/>
    </row>
    <row r="3297" spans="4:4">
      <c r="D3297" s="1"/>
    </row>
    <row r="3298" spans="4:4">
      <c r="D3298" s="1"/>
    </row>
    <row r="3299" spans="4:4">
      <c r="D3299" s="1"/>
    </row>
    <row r="3300" spans="4:4">
      <c r="D3300" s="1"/>
    </row>
    <row r="3301" spans="4:4">
      <c r="D3301" s="1"/>
    </row>
    <row r="3302" spans="4:4">
      <c r="D3302" s="1"/>
    </row>
    <row r="3303" spans="4:4">
      <c r="D3303" s="1"/>
    </row>
    <row r="3304" spans="4:4">
      <c r="D3304" s="1"/>
    </row>
    <row r="3305" spans="4:4">
      <c r="D3305" s="1"/>
    </row>
    <row r="3306" spans="4:4">
      <c r="D3306" s="1"/>
    </row>
    <row r="3307" spans="4:4">
      <c r="D3307" s="1"/>
    </row>
    <row r="3308" spans="4:4">
      <c r="D3308" s="1"/>
    </row>
    <row r="3309" spans="4:4">
      <c r="D3309" s="1"/>
    </row>
    <row r="3310" spans="4:4">
      <c r="D3310" s="1"/>
    </row>
    <row r="3311" spans="4:4">
      <c r="D3311" s="1"/>
    </row>
    <row r="3312" spans="4:4">
      <c r="D3312" s="1"/>
    </row>
    <row r="3313" spans="4:4">
      <c r="D3313" s="1"/>
    </row>
    <row r="3314" spans="4:4">
      <c r="D3314" s="1"/>
    </row>
    <row r="3315" spans="4:4">
      <c r="D3315" s="1"/>
    </row>
    <row r="3316" spans="4:4">
      <c r="D3316" s="1"/>
    </row>
    <row r="3317" spans="4:4">
      <c r="D3317" s="1"/>
    </row>
    <row r="3318" spans="4:4">
      <c r="D3318" s="1"/>
    </row>
    <row r="3319" spans="4:4">
      <c r="D3319" s="1"/>
    </row>
    <row r="3320" spans="4:4">
      <c r="D3320" s="1"/>
    </row>
    <row r="3321" spans="4:4">
      <c r="D3321" s="1"/>
    </row>
    <row r="3322" spans="4:4">
      <c r="D3322" s="1"/>
    </row>
    <row r="3323" spans="4:4">
      <c r="D3323" s="1"/>
    </row>
    <row r="3324" spans="4:4">
      <c r="D3324" s="1"/>
    </row>
    <row r="3325" spans="4:4">
      <c r="D3325" s="1"/>
    </row>
    <row r="3326" spans="4:4">
      <c r="D3326" s="1"/>
    </row>
    <row r="3327" spans="4:4">
      <c r="D3327" s="1"/>
    </row>
    <row r="3328" spans="4:4">
      <c r="D3328" s="1"/>
    </row>
    <row r="3329" spans="4:4">
      <c r="D3329" s="1"/>
    </row>
    <row r="3330" spans="4:4">
      <c r="D3330" s="1"/>
    </row>
    <row r="3331" spans="4:4">
      <c r="D3331" s="1"/>
    </row>
    <row r="3332" spans="4:4">
      <c r="D3332" s="1"/>
    </row>
    <row r="3333" spans="4:4">
      <c r="D3333" s="1"/>
    </row>
    <row r="3334" spans="4:4">
      <c r="D3334" s="1"/>
    </row>
    <row r="3335" spans="4:4">
      <c r="D3335" s="1"/>
    </row>
    <row r="3336" spans="4:4">
      <c r="D3336" s="1"/>
    </row>
    <row r="3337" spans="4:4">
      <c r="D3337" s="1"/>
    </row>
    <row r="3338" spans="4:4">
      <c r="D3338" s="1"/>
    </row>
    <row r="3339" spans="4:4">
      <c r="D3339" s="1"/>
    </row>
    <row r="3340" spans="4:4">
      <c r="D3340" s="1"/>
    </row>
    <row r="3341" spans="4:4">
      <c r="D3341" s="1"/>
    </row>
    <row r="3342" spans="4:4">
      <c r="D3342" s="1"/>
    </row>
    <row r="3343" spans="4:4">
      <c r="D3343" s="1"/>
    </row>
    <row r="3344" spans="4:4">
      <c r="D3344" s="1"/>
    </row>
    <row r="3345" spans="4:4">
      <c r="D3345" s="1"/>
    </row>
    <row r="3346" spans="4:4">
      <c r="D3346" s="1"/>
    </row>
    <row r="3347" spans="4:4">
      <c r="D3347" s="1"/>
    </row>
    <row r="3348" spans="4:4">
      <c r="D3348" s="1"/>
    </row>
    <row r="3349" spans="4:4">
      <c r="D3349" s="1"/>
    </row>
    <row r="3350" spans="4:4">
      <c r="D3350" s="1"/>
    </row>
    <row r="3351" spans="4:4">
      <c r="D3351" s="1"/>
    </row>
    <row r="3352" spans="4:4">
      <c r="D3352" s="1"/>
    </row>
    <row r="3353" spans="4:4">
      <c r="D3353" s="1"/>
    </row>
    <row r="3354" spans="4:4">
      <c r="D3354" s="1"/>
    </row>
    <row r="3355" spans="4:4">
      <c r="D3355" s="1"/>
    </row>
    <row r="3356" spans="4:4">
      <c r="D3356" s="1"/>
    </row>
    <row r="3357" spans="4:4">
      <c r="D3357" s="1"/>
    </row>
    <row r="3358" spans="4:4">
      <c r="D3358" s="1"/>
    </row>
    <row r="3359" spans="4:4">
      <c r="D3359" s="1"/>
    </row>
    <row r="3360" spans="4:4">
      <c r="D3360" s="1"/>
    </row>
    <row r="3361" spans="4:4">
      <c r="D3361" s="1"/>
    </row>
    <row r="3362" spans="4:4">
      <c r="D3362" s="1"/>
    </row>
    <row r="3363" spans="4:4">
      <c r="D3363" s="1"/>
    </row>
    <row r="3364" spans="4:4">
      <c r="D3364" s="1"/>
    </row>
    <row r="3365" spans="4:4">
      <c r="D3365" s="1"/>
    </row>
    <row r="3366" spans="4:4">
      <c r="D3366" s="1"/>
    </row>
    <row r="3367" spans="4:4">
      <c r="D3367" s="1"/>
    </row>
    <row r="3368" spans="4:4">
      <c r="D3368" s="1"/>
    </row>
    <row r="3369" spans="4:4">
      <c r="D3369" s="1"/>
    </row>
    <row r="3370" spans="4:4">
      <c r="D3370" s="1"/>
    </row>
    <row r="3371" spans="4:4">
      <c r="D3371" s="1"/>
    </row>
    <row r="3372" spans="4:4">
      <c r="D3372" s="1"/>
    </row>
    <row r="3373" spans="4:4">
      <c r="D3373" s="1"/>
    </row>
    <row r="3374" spans="4:4">
      <c r="D3374" s="1"/>
    </row>
    <row r="3375" spans="4:4">
      <c r="D3375" s="1"/>
    </row>
    <row r="3376" spans="4:4">
      <c r="D3376" s="1"/>
    </row>
    <row r="3377" spans="4:4">
      <c r="D3377" s="1"/>
    </row>
    <row r="3378" spans="4:4">
      <c r="D3378" s="1"/>
    </row>
    <row r="3379" spans="4:4">
      <c r="D3379" s="1"/>
    </row>
    <row r="3380" spans="4:4">
      <c r="D3380" s="1"/>
    </row>
    <row r="3381" spans="4:4">
      <c r="D3381" s="1"/>
    </row>
    <row r="3382" spans="4:4">
      <c r="D3382" s="1"/>
    </row>
    <row r="3383" spans="4:4">
      <c r="D3383" s="1"/>
    </row>
    <row r="3384" spans="4:4">
      <c r="D3384" s="1"/>
    </row>
    <row r="3385" spans="4:4">
      <c r="D3385" s="1"/>
    </row>
    <row r="3386" spans="4:4">
      <c r="D3386" s="1"/>
    </row>
    <row r="3387" spans="4:4">
      <c r="D3387" s="1"/>
    </row>
    <row r="3388" spans="4:4">
      <c r="D3388" s="1"/>
    </row>
    <row r="3389" spans="4:4">
      <c r="D3389" s="1"/>
    </row>
    <row r="3390" spans="4:4">
      <c r="D3390" s="1"/>
    </row>
    <row r="3391" spans="4:4">
      <c r="D3391" s="1"/>
    </row>
    <row r="3392" spans="4:4">
      <c r="D3392" s="1"/>
    </row>
    <row r="3393" spans="4:4">
      <c r="D3393" s="1"/>
    </row>
    <row r="3394" spans="4:4">
      <c r="D3394" s="1"/>
    </row>
    <row r="3395" spans="4:4">
      <c r="D3395" s="1"/>
    </row>
    <row r="3396" spans="4:4">
      <c r="D3396" s="1"/>
    </row>
    <row r="3397" spans="4:4">
      <c r="D3397" s="1"/>
    </row>
    <row r="3398" spans="4:4">
      <c r="D3398" s="1"/>
    </row>
    <row r="3399" spans="4:4">
      <c r="D3399" s="1"/>
    </row>
    <row r="3400" spans="4:4">
      <c r="D3400" s="1"/>
    </row>
    <row r="3401" spans="4:4">
      <c r="D3401" s="1"/>
    </row>
    <row r="3402" spans="4:4">
      <c r="D3402" s="1"/>
    </row>
    <row r="3403" spans="4:4">
      <c r="D3403" s="1"/>
    </row>
    <row r="3404" spans="4:4">
      <c r="D3404" s="1"/>
    </row>
    <row r="3405" spans="4:4">
      <c r="D3405" s="1"/>
    </row>
    <row r="3406" spans="4:4">
      <c r="D3406" s="1"/>
    </row>
    <row r="3407" spans="4:4">
      <c r="D3407" s="1"/>
    </row>
    <row r="3408" spans="4:4">
      <c r="D3408" s="1"/>
    </row>
    <row r="3409" spans="4:4">
      <c r="D3409" s="1"/>
    </row>
    <row r="3410" spans="4:4">
      <c r="D3410" s="1"/>
    </row>
    <row r="3411" spans="4:4">
      <c r="D3411" s="1"/>
    </row>
    <row r="3412" spans="4:4">
      <c r="D3412" s="1"/>
    </row>
    <row r="3413" spans="4:4">
      <c r="D3413" s="1"/>
    </row>
    <row r="3414" spans="4:4">
      <c r="D3414" s="1"/>
    </row>
    <row r="3415" spans="4:4">
      <c r="D3415" s="1"/>
    </row>
    <row r="3416" spans="4:4">
      <c r="D3416" s="1"/>
    </row>
    <row r="3417" spans="4:4">
      <c r="D3417" s="1"/>
    </row>
    <row r="3418" spans="4:4">
      <c r="D3418" s="1"/>
    </row>
    <row r="3419" spans="4:4">
      <c r="D3419" s="1"/>
    </row>
    <row r="3420" spans="4:4">
      <c r="D3420" s="1"/>
    </row>
    <row r="3421" spans="4:4">
      <c r="D3421" s="1"/>
    </row>
    <row r="3422" spans="4:4">
      <c r="D3422" s="1"/>
    </row>
    <row r="3423" spans="4:4">
      <c r="D3423" s="1"/>
    </row>
    <row r="3424" spans="4:4">
      <c r="D3424" s="1"/>
    </row>
    <row r="3425" spans="4:4">
      <c r="D3425" s="1"/>
    </row>
    <row r="3426" spans="4:4">
      <c r="D3426" s="1"/>
    </row>
    <row r="3427" spans="4:4">
      <c r="D3427" s="1"/>
    </row>
    <row r="3428" spans="4:4">
      <c r="D3428" s="1"/>
    </row>
    <row r="3429" spans="4:4">
      <c r="D3429" s="1"/>
    </row>
    <row r="3430" spans="4:4">
      <c r="D3430" s="1"/>
    </row>
    <row r="3431" spans="4:4">
      <c r="D3431" s="1"/>
    </row>
    <row r="3432" spans="4:4">
      <c r="D3432" s="1"/>
    </row>
    <row r="3433" spans="4:4">
      <c r="D3433" s="1"/>
    </row>
    <row r="3434" spans="4:4">
      <c r="D3434" s="1"/>
    </row>
    <row r="3435" spans="4:4">
      <c r="D3435" s="1"/>
    </row>
    <row r="3436" spans="4:4">
      <c r="D3436" s="1"/>
    </row>
    <row r="3437" spans="4:4">
      <c r="D3437" s="1"/>
    </row>
    <row r="3438" spans="4:4">
      <c r="D3438" s="1"/>
    </row>
    <row r="3439" spans="4:4">
      <c r="D3439" s="1"/>
    </row>
    <row r="3440" spans="4:4">
      <c r="D3440" s="1"/>
    </row>
    <row r="3441" spans="4:4">
      <c r="D3441" s="1"/>
    </row>
    <row r="3442" spans="4:4">
      <c r="D3442" s="1"/>
    </row>
    <row r="3443" spans="4:4">
      <c r="D3443" s="1"/>
    </row>
    <row r="3444" spans="4:4">
      <c r="D3444" s="1"/>
    </row>
    <row r="3445" spans="4:4">
      <c r="D3445" s="1"/>
    </row>
    <row r="3446" spans="4:4">
      <c r="D3446" s="1"/>
    </row>
    <row r="3447" spans="4:4">
      <c r="D3447" s="1"/>
    </row>
    <row r="3448" spans="4:4">
      <c r="D3448" s="1"/>
    </row>
    <row r="3449" spans="4:4">
      <c r="D3449" s="1"/>
    </row>
    <row r="3450" spans="4:4">
      <c r="D3450" s="1"/>
    </row>
    <row r="3451" spans="4:4">
      <c r="D3451" s="1"/>
    </row>
    <row r="3452" spans="4:4">
      <c r="D3452" s="1"/>
    </row>
    <row r="3453" spans="4:4">
      <c r="D3453" s="1"/>
    </row>
    <row r="3454" spans="4:4">
      <c r="D3454" s="1"/>
    </row>
    <row r="3455" spans="4:4">
      <c r="D3455" s="1"/>
    </row>
    <row r="3456" spans="4:4">
      <c r="D3456" s="1"/>
    </row>
    <row r="3457" spans="4:4">
      <c r="D3457" s="1"/>
    </row>
    <row r="3458" spans="4:4">
      <c r="D3458" s="1"/>
    </row>
    <row r="3459" spans="4:4">
      <c r="D3459" s="1"/>
    </row>
    <row r="3460" spans="4:4">
      <c r="D3460" s="1"/>
    </row>
    <row r="3461" spans="4:4">
      <c r="D3461" s="1"/>
    </row>
    <row r="3462" spans="4:4">
      <c r="D3462" s="1"/>
    </row>
    <row r="3463" spans="4:4">
      <c r="D3463" s="1"/>
    </row>
    <row r="3464" spans="4:4">
      <c r="D3464" s="1"/>
    </row>
    <row r="3465" spans="4:4">
      <c r="D3465" s="1"/>
    </row>
    <row r="3466" spans="4:4">
      <c r="D3466" s="1"/>
    </row>
    <row r="3467" spans="4:4">
      <c r="D3467" s="1"/>
    </row>
    <row r="3468" spans="4:4">
      <c r="D3468" s="1"/>
    </row>
    <row r="3469" spans="4:4">
      <c r="D3469" s="1"/>
    </row>
    <row r="3470" spans="4:4">
      <c r="D3470" s="1"/>
    </row>
    <row r="3471" spans="4:4">
      <c r="D3471" s="1"/>
    </row>
    <row r="3472" spans="4:4">
      <c r="D3472" s="1"/>
    </row>
    <row r="3473" spans="4:4">
      <c r="D3473" s="1"/>
    </row>
    <row r="3474" spans="4:4">
      <c r="D3474" s="1"/>
    </row>
    <row r="3475" spans="4:4">
      <c r="D3475" s="1"/>
    </row>
    <row r="3476" spans="4:4">
      <c r="D3476" s="1"/>
    </row>
    <row r="3477" spans="4:4">
      <c r="D3477" s="1"/>
    </row>
    <row r="3478" spans="4:4">
      <c r="D3478" s="1"/>
    </row>
    <row r="3479" spans="4:4">
      <c r="D3479" s="1"/>
    </row>
    <row r="3480" spans="4:4">
      <c r="D3480" s="1"/>
    </row>
    <row r="3481" spans="4:4">
      <c r="D3481" s="1"/>
    </row>
    <row r="3482" spans="4:4">
      <c r="D3482" s="1"/>
    </row>
    <row r="3483" spans="4:4">
      <c r="D3483" s="1"/>
    </row>
    <row r="3484" spans="4:4">
      <c r="D3484" s="1"/>
    </row>
    <row r="3485" spans="4:4">
      <c r="D3485" s="1"/>
    </row>
    <row r="3486" spans="4:4">
      <c r="D3486" s="1"/>
    </row>
    <row r="3487" spans="4:4">
      <c r="D3487" s="1"/>
    </row>
    <row r="3488" spans="4:4">
      <c r="D3488" s="1"/>
    </row>
    <row r="3489" spans="4:4">
      <c r="D3489" s="1"/>
    </row>
    <row r="3490" spans="4:4">
      <c r="D3490" s="1"/>
    </row>
    <row r="3491" spans="4:4">
      <c r="D3491" s="1"/>
    </row>
    <row r="3492" spans="4:4">
      <c r="D3492" s="1"/>
    </row>
    <row r="3493" spans="4:4">
      <c r="D3493" s="1"/>
    </row>
    <row r="3494" spans="4:4">
      <c r="D3494" s="1"/>
    </row>
    <row r="3495" spans="4:4">
      <c r="D3495" s="1"/>
    </row>
    <row r="3496" spans="4:4">
      <c r="D3496" s="1"/>
    </row>
    <row r="3497" spans="4:4">
      <c r="D3497" s="1"/>
    </row>
    <row r="3498" spans="4:4">
      <c r="D3498" s="1"/>
    </row>
    <row r="3499" spans="4:4">
      <c r="D3499" s="1"/>
    </row>
    <row r="3500" spans="4:4">
      <c r="D3500" s="1"/>
    </row>
    <row r="3501" spans="4:4">
      <c r="D3501" s="1"/>
    </row>
    <row r="3502" spans="4:4">
      <c r="D3502" s="1"/>
    </row>
    <row r="3503" spans="4:4">
      <c r="D3503" s="1"/>
    </row>
    <row r="3504" spans="4:4">
      <c r="D3504" s="1"/>
    </row>
    <row r="3505" spans="4:4">
      <c r="D3505" s="1"/>
    </row>
    <row r="3506" spans="4:4">
      <c r="D3506" s="1"/>
    </row>
    <row r="3507" spans="4:4">
      <c r="D3507" s="1"/>
    </row>
    <row r="3508" spans="4:4">
      <c r="D3508" s="1"/>
    </row>
    <row r="3509" spans="4:4">
      <c r="D3509" s="1"/>
    </row>
    <row r="3510" spans="4:4">
      <c r="D3510" s="1"/>
    </row>
    <row r="3511" spans="4:4">
      <c r="D3511" s="1"/>
    </row>
    <row r="3512" spans="4:4">
      <c r="D3512" s="1"/>
    </row>
    <row r="3513" spans="4:4">
      <c r="D3513" s="1"/>
    </row>
    <row r="3514" spans="4:4">
      <c r="D3514" s="1"/>
    </row>
    <row r="3515" spans="4:4">
      <c r="D3515" s="1"/>
    </row>
    <row r="3516" spans="4:4">
      <c r="D3516" s="1"/>
    </row>
    <row r="3517" spans="4:4">
      <c r="D3517" s="1"/>
    </row>
    <row r="3518" spans="4:4">
      <c r="D3518" s="1"/>
    </row>
    <row r="3519" spans="4:4">
      <c r="D3519" s="1"/>
    </row>
    <row r="3520" spans="4:4">
      <c r="D3520" s="1"/>
    </row>
    <row r="3521" spans="4:4">
      <c r="D3521" s="1"/>
    </row>
    <row r="3522" spans="4:4">
      <c r="D3522" s="1"/>
    </row>
    <row r="3523" spans="4:4">
      <c r="D3523" s="1"/>
    </row>
    <row r="3524" spans="4:4">
      <c r="D3524" s="1"/>
    </row>
    <row r="3525" spans="4:4">
      <c r="D3525" s="1"/>
    </row>
    <row r="3526" spans="4:4">
      <c r="D3526" s="1"/>
    </row>
    <row r="3527" spans="4:4">
      <c r="D3527" s="1"/>
    </row>
    <row r="3528" spans="4:4">
      <c r="D3528" s="1"/>
    </row>
    <row r="3529" spans="4:4">
      <c r="D3529" s="1"/>
    </row>
    <row r="3530" spans="4:4">
      <c r="D3530" s="1"/>
    </row>
    <row r="3531" spans="4:4">
      <c r="D3531" s="1"/>
    </row>
    <row r="3532" spans="4:4">
      <c r="D3532" s="1"/>
    </row>
    <row r="3533" spans="4:4">
      <c r="D3533" s="1"/>
    </row>
    <row r="3534" spans="4:4">
      <c r="D3534" s="1"/>
    </row>
    <row r="3535" spans="4:4">
      <c r="D3535" s="1"/>
    </row>
    <row r="3536" spans="4:4">
      <c r="D3536" s="1"/>
    </row>
    <row r="3537" spans="4:4">
      <c r="D3537" s="1"/>
    </row>
    <row r="3538" spans="4:4">
      <c r="D3538" s="1"/>
    </row>
    <row r="3539" spans="4:4">
      <c r="D3539" s="1"/>
    </row>
    <row r="3540" spans="4:4">
      <c r="D3540" s="1"/>
    </row>
    <row r="3541" spans="4:4">
      <c r="D3541" s="1"/>
    </row>
    <row r="3542" spans="4:4">
      <c r="D3542" s="1"/>
    </row>
    <row r="3543" spans="4:4">
      <c r="D3543" s="1"/>
    </row>
    <row r="3544" spans="4:4">
      <c r="D3544" s="1"/>
    </row>
    <row r="3545" spans="4:4">
      <c r="D3545" s="1"/>
    </row>
    <row r="3546" spans="4:4">
      <c r="D3546" s="1"/>
    </row>
    <row r="3547" spans="4:4">
      <c r="D3547" s="1"/>
    </row>
    <row r="3548" spans="4:4">
      <c r="D3548" s="1"/>
    </row>
    <row r="3549" spans="4:4">
      <c r="D3549" s="1"/>
    </row>
    <row r="3550" spans="4:4">
      <c r="D3550" s="1"/>
    </row>
    <row r="3551" spans="4:4">
      <c r="D3551" s="1"/>
    </row>
    <row r="3552" spans="4:4">
      <c r="D3552" s="1"/>
    </row>
    <row r="3553" spans="4:4">
      <c r="D3553" s="1"/>
    </row>
    <row r="3554" spans="4:4">
      <c r="D3554" s="1"/>
    </row>
    <row r="3555" spans="4:4">
      <c r="D3555" s="1"/>
    </row>
    <row r="3556" spans="4:4">
      <c r="D3556" s="1"/>
    </row>
    <row r="3557" spans="4:4">
      <c r="D3557" s="1"/>
    </row>
    <row r="3558" spans="4:4">
      <c r="D3558" s="1"/>
    </row>
    <row r="3559" spans="4:4">
      <c r="D3559" s="1"/>
    </row>
    <row r="3560" spans="4:4">
      <c r="D3560" s="1"/>
    </row>
    <row r="3561" spans="4:4">
      <c r="D3561" s="1"/>
    </row>
    <row r="3562" spans="4:4">
      <c r="D3562" s="1"/>
    </row>
    <row r="3563" spans="4:4">
      <c r="D3563" s="1"/>
    </row>
    <row r="3564" spans="4:4">
      <c r="D3564" s="1"/>
    </row>
    <row r="3565" spans="4:4">
      <c r="D3565" s="1"/>
    </row>
    <row r="3566" spans="4:4">
      <c r="D3566" s="1"/>
    </row>
    <row r="3567" spans="4:4">
      <c r="D3567" s="1"/>
    </row>
    <row r="3568" spans="4:4">
      <c r="D3568" s="1"/>
    </row>
    <row r="3569" spans="4:4">
      <c r="D3569" s="1"/>
    </row>
    <row r="3570" spans="4:4">
      <c r="D3570" s="1"/>
    </row>
    <row r="3571" spans="4:4">
      <c r="D3571" s="1"/>
    </row>
    <row r="3572" spans="4:4">
      <c r="D3572" s="1"/>
    </row>
    <row r="3573" spans="4:4">
      <c r="D3573" s="1"/>
    </row>
    <row r="3574" spans="4:4">
      <c r="D3574" s="1"/>
    </row>
    <row r="3575" spans="4:4">
      <c r="D3575" s="1"/>
    </row>
    <row r="3576" spans="4:4">
      <c r="D3576" s="1"/>
    </row>
    <row r="3577" spans="4:4">
      <c r="D3577" s="1"/>
    </row>
    <row r="3578" spans="4:4">
      <c r="D3578" s="1"/>
    </row>
    <row r="3579" spans="4:4">
      <c r="D3579" s="1"/>
    </row>
    <row r="3580" spans="4:4">
      <c r="D3580" s="1"/>
    </row>
    <row r="3581" spans="4:4">
      <c r="D3581" s="1"/>
    </row>
    <row r="3582" spans="4:4">
      <c r="D3582" s="1"/>
    </row>
    <row r="3583" spans="4:4">
      <c r="D3583" s="1"/>
    </row>
    <row r="3584" spans="4:4">
      <c r="D3584" s="1"/>
    </row>
    <row r="3585" spans="4:4">
      <c r="D3585" s="1"/>
    </row>
    <row r="3586" spans="4:4">
      <c r="D3586" s="1"/>
    </row>
    <row r="3587" spans="4:4">
      <c r="D3587" s="1"/>
    </row>
    <row r="3588" spans="4:4">
      <c r="D3588" s="1"/>
    </row>
    <row r="3589" spans="4:4">
      <c r="D3589" s="1"/>
    </row>
    <row r="3590" spans="4:4">
      <c r="D3590" s="1"/>
    </row>
    <row r="3591" spans="4:4">
      <c r="D3591" s="1"/>
    </row>
    <row r="3592" spans="4:4">
      <c r="D3592" s="1"/>
    </row>
    <row r="3593" spans="4:4">
      <c r="D3593" s="1"/>
    </row>
    <row r="3594" spans="4:4">
      <c r="D3594" s="1"/>
    </row>
    <row r="3595" spans="4:4">
      <c r="D3595" s="1"/>
    </row>
    <row r="3596" spans="4:4">
      <c r="D3596" s="1"/>
    </row>
    <row r="3597" spans="4:4">
      <c r="D3597" s="1"/>
    </row>
    <row r="3598" spans="4:4">
      <c r="D3598" s="1"/>
    </row>
    <row r="3599" spans="4:4">
      <c r="D3599" s="1"/>
    </row>
    <row r="3600" spans="4:4">
      <c r="D3600" s="1"/>
    </row>
    <row r="3601" spans="4:4">
      <c r="D3601" s="1"/>
    </row>
    <row r="3602" spans="4:4">
      <c r="D3602" s="1"/>
    </row>
    <row r="3603" spans="4:4">
      <c r="D3603" s="1"/>
    </row>
    <row r="3604" spans="4:4">
      <c r="D3604" s="1"/>
    </row>
    <row r="3605" spans="4:4">
      <c r="D3605" s="1"/>
    </row>
    <row r="3606" spans="4:4">
      <c r="D3606" s="1"/>
    </row>
    <row r="3607" spans="4:4">
      <c r="D3607" s="1"/>
    </row>
    <row r="3608" spans="4:4">
      <c r="D3608" s="1"/>
    </row>
    <row r="3609" spans="4:4">
      <c r="D3609" s="1"/>
    </row>
    <row r="3610" spans="4:4">
      <c r="D3610" s="1"/>
    </row>
    <row r="3611" spans="4:4">
      <c r="D3611" s="1"/>
    </row>
    <row r="3612" spans="4:4">
      <c r="D3612" s="1"/>
    </row>
    <row r="3613" spans="4:4">
      <c r="D3613" s="1"/>
    </row>
    <row r="3614" spans="4:4">
      <c r="D3614" s="1"/>
    </row>
    <row r="3615" spans="4:4">
      <c r="D3615" s="1"/>
    </row>
    <row r="3616" spans="4:4">
      <c r="D3616" s="1"/>
    </row>
    <row r="3617" spans="4:4">
      <c r="D3617" s="1"/>
    </row>
    <row r="3618" spans="4:4">
      <c r="D3618" s="1"/>
    </row>
    <row r="3619" spans="4:4">
      <c r="D3619" s="1"/>
    </row>
    <row r="3620" spans="4:4">
      <c r="D3620" s="1"/>
    </row>
    <row r="3621" spans="4:4">
      <c r="D3621" s="1"/>
    </row>
    <row r="3622" spans="4:4">
      <c r="D3622" s="1"/>
    </row>
    <row r="3623" spans="4:4">
      <c r="D3623" s="1"/>
    </row>
    <row r="3624" spans="4:4">
      <c r="D3624" s="1"/>
    </row>
    <row r="3625" spans="4:4">
      <c r="D3625" s="1"/>
    </row>
    <row r="3626" spans="4:4">
      <c r="D3626" s="1"/>
    </row>
    <row r="3627" spans="4:4">
      <c r="D3627" s="1"/>
    </row>
    <row r="3628" spans="4:4">
      <c r="D3628" s="1"/>
    </row>
    <row r="3629" spans="4:4">
      <c r="D3629" s="1"/>
    </row>
    <row r="3630" spans="4:4">
      <c r="D3630" s="1"/>
    </row>
    <row r="3631" spans="4:4">
      <c r="D3631" s="1"/>
    </row>
    <row r="3632" spans="4:4">
      <c r="D3632" s="1"/>
    </row>
    <row r="3633" spans="4:4">
      <c r="D3633" s="1"/>
    </row>
    <row r="3634" spans="4:4">
      <c r="D3634" s="1"/>
    </row>
    <row r="3635" spans="4:4">
      <c r="D3635" s="1"/>
    </row>
    <row r="3636" spans="4:4">
      <c r="D3636" s="1"/>
    </row>
    <row r="3637" spans="4:4">
      <c r="D3637" s="1"/>
    </row>
    <row r="3638" spans="4:4">
      <c r="D3638" s="1"/>
    </row>
    <row r="3639" spans="4:4">
      <c r="D3639" s="1"/>
    </row>
    <row r="3640" spans="4:4">
      <c r="D3640" s="1"/>
    </row>
    <row r="3641" spans="4:4">
      <c r="D3641" s="1"/>
    </row>
    <row r="3642" spans="4:4">
      <c r="D3642" s="1"/>
    </row>
    <row r="3643" spans="4:4">
      <c r="D3643" s="1"/>
    </row>
    <row r="3644" spans="4:4">
      <c r="D3644" s="1"/>
    </row>
    <row r="3645" spans="4:4">
      <c r="D3645" s="1"/>
    </row>
    <row r="3646" spans="4:4">
      <c r="D3646" s="1"/>
    </row>
    <row r="3647" spans="4:4">
      <c r="D3647" s="1"/>
    </row>
    <row r="3648" spans="4:4">
      <c r="D3648" s="1"/>
    </row>
    <row r="3649" spans="4:4">
      <c r="D3649" s="1"/>
    </row>
    <row r="3650" spans="4:4">
      <c r="D3650" s="1"/>
    </row>
    <row r="3651" spans="4:4">
      <c r="D3651" s="1"/>
    </row>
    <row r="3652" spans="4:4">
      <c r="D3652" s="1"/>
    </row>
    <row r="3653" spans="4:4">
      <c r="D3653" s="1"/>
    </row>
    <row r="3654" spans="4:4">
      <c r="D3654" s="1"/>
    </row>
    <row r="3655" spans="4:4">
      <c r="D3655" s="1"/>
    </row>
    <row r="3656" spans="4:4">
      <c r="D3656" s="1"/>
    </row>
    <row r="3657" spans="4:4">
      <c r="D3657" s="1"/>
    </row>
    <row r="3658" spans="4:4">
      <c r="D3658" s="1"/>
    </row>
    <row r="3659" spans="4:4">
      <c r="D3659" s="1"/>
    </row>
    <row r="3660" spans="4:4">
      <c r="D3660" s="1"/>
    </row>
    <row r="3661" spans="4:4">
      <c r="D3661" s="1"/>
    </row>
    <row r="3662" spans="4:4">
      <c r="D3662" s="1"/>
    </row>
    <row r="3663" spans="4:4">
      <c r="D3663" s="1"/>
    </row>
    <row r="3664" spans="4:4">
      <c r="D3664" s="1"/>
    </row>
    <row r="3665" spans="4:4">
      <c r="D3665" s="1"/>
    </row>
    <row r="3666" spans="4:4">
      <c r="D3666" s="1"/>
    </row>
    <row r="3667" spans="4:4">
      <c r="D3667" s="1"/>
    </row>
    <row r="3668" spans="4:4">
      <c r="D3668" s="1"/>
    </row>
    <row r="3669" spans="4:4">
      <c r="D3669" s="1"/>
    </row>
    <row r="3670" spans="4:4">
      <c r="D3670" s="1"/>
    </row>
    <row r="3671" spans="4:4">
      <c r="D3671" s="1"/>
    </row>
    <row r="3672" spans="4:4">
      <c r="D3672" s="1"/>
    </row>
    <row r="3673" spans="4:4">
      <c r="D3673" s="1"/>
    </row>
    <row r="3674" spans="4:4">
      <c r="D3674" s="1"/>
    </row>
    <row r="3675" spans="4:4">
      <c r="D3675" s="1"/>
    </row>
    <row r="3676" spans="4:4">
      <c r="D3676" s="1"/>
    </row>
    <row r="3677" spans="4:4">
      <c r="D3677" s="1"/>
    </row>
    <row r="3678" spans="4:4">
      <c r="D3678" s="1"/>
    </row>
    <row r="3679" spans="4:4">
      <c r="D3679" s="1"/>
    </row>
    <row r="3680" spans="4:4">
      <c r="D3680" s="1"/>
    </row>
    <row r="3681" spans="4:4">
      <c r="D3681" s="1"/>
    </row>
    <row r="3682" spans="4:4">
      <c r="D3682" s="1"/>
    </row>
    <row r="3683" spans="4:4">
      <c r="D3683" s="1"/>
    </row>
    <row r="3684" spans="4:4">
      <c r="D3684" s="1"/>
    </row>
    <row r="3685" spans="4:4">
      <c r="D3685" s="1"/>
    </row>
    <row r="3686" spans="4:4">
      <c r="D3686" s="1"/>
    </row>
    <row r="3687" spans="4:4">
      <c r="D3687" s="1"/>
    </row>
    <row r="3688" spans="4:4">
      <c r="D3688" s="1"/>
    </row>
    <row r="3689" spans="4:4">
      <c r="D3689" s="1"/>
    </row>
    <row r="3690" spans="4:4">
      <c r="D3690" s="1"/>
    </row>
    <row r="3691" spans="4:4">
      <c r="D3691" s="1"/>
    </row>
    <row r="3692" spans="4:4">
      <c r="D3692" s="1"/>
    </row>
    <row r="3693" spans="4:4">
      <c r="D3693" s="1"/>
    </row>
    <row r="3694" spans="4:4">
      <c r="D3694" s="1"/>
    </row>
    <row r="3695" spans="4:4">
      <c r="D3695" s="1"/>
    </row>
    <row r="3696" spans="4:4">
      <c r="D3696" s="1"/>
    </row>
    <row r="3697" spans="4:4">
      <c r="D3697" s="1"/>
    </row>
    <row r="3698" spans="4:4">
      <c r="D3698" s="1"/>
    </row>
    <row r="3699" spans="4:4">
      <c r="D3699" s="1"/>
    </row>
    <row r="3700" spans="4:4">
      <c r="D3700" s="1"/>
    </row>
    <row r="3701" spans="4:4">
      <c r="D3701" s="1"/>
    </row>
    <row r="3702" spans="4:4">
      <c r="D3702" s="1"/>
    </row>
    <row r="3703" spans="4:4">
      <c r="D3703" s="1"/>
    </row>
    <row r="3704" spans="4:4">
      <c r="D3704" s="1"/>
    </row>
    <row r="3705" spans="4:4">
      <c r="D3705" s="1"/>
    </row>
    <row r="3706" spans="4:4">
      <c r="D3706" s="1"/>
    </row>
    <row r="3707" spans="4:4">
      <c r="D3707" s="1"/>
    </row>
    <row r="3708" spans="4:4">
      <c r="D3708" s="1"/>
    </row>
    <row r="3709" spans="4:4">
      <c r="D3709" s="1"/>
    </row>
    <row r="3710" spans="4:4">
      <c r="D3710" s="1"/>
    </row>
    <row r="3711" spans="4:4">
      <c r="D3711" s="1"/>
    </row>
    <row r="3712" spans="4:4">
      <c r="D3712" s="1"/>
    </row>
    <row r="3713" spans="4:4">
      <c r="D3713" s="1"/>
    </row>
    <row r="3714" spans="4:4">
      <c r="D3714" s="1"/>
    </row>
    <row r="3715" spans="4:4">
      <c r="D3715" s="1"/>
    </row>
    <row r="3716" spans="4:4">
      <c r="D3716" s="1"/>
    </row>
    <row r="3717" spans="4:4">
      <c r="D3717" s="1"/>
    </row>
    <row r="3718" spans="4:4">
      <c r="D3718" s="1"/>
    </row>
    <row r="3719" spans="4:4">
      <c r="D3719" s="1"/>
    </row>
    <row r="3720" spans="4:4">
      <c r="D3720" s="1"/>
    </row>
    <row r="3721" spans="4:4">
      <c r="D3721" s="1"/>
    </row>
    <row r="3722" spans="4:4">
      <c r="D3722" s="1"/>
    </row>
    <row r="3723" spans="4:4">
      <c r="D3723" s="1"/>
    </row>
    <row r="3724" spans="4:4">
      <c r="D3724" s="1"/>
    </row>
    <row r="3725" spans="4:4">
      <c r="D3725" s="1"/>
    </row>
    <row r="3726" spans="4:4">
      <c r="D3726" s="1"/>
    </row>
    <row r="3727" spans="4:4">
      <c r="D3727" s="1"/>
    </row>
    <row r="3728" spans="4:4">
      <c r="D3728" s="1"/>
    </row>
    <row r="3729" spans="4:4">
      <c r="D3729" s="1"/>
    </row>
    <row r="3730" spans="4:4">
      <c r="D3730" s="1"/>
    </row>
    <row r="3731" spans="4:4">
      <c r="D3731" s="1"/>
    </row>
    <row r="3732" spans="4:4">
      <c r="D3732" s="1"/>
    </row>
    <row r="3733" spans="4:4">
      <c r="D3733" s="1"/>
    </row>
    <row r="3734" spans="4:4">
      <c r="D3734" s="1"/>
    </row>
    <row r="3735" spans="4:4">
      <c r="D3735" s="1"/>
    </row>
    <row r="3736" spans="4:4">
      <c r="D3736" s="1"/>
    </row>
    <row r="3737" spans="4:4">
      <c r="D3737" s="1"/>
    </row>
    <row r="3738" spans="4:4">
      <c r="D3738" s="1"/>
    </row>
    <row r="3739" spans="4:4">
      <c r="D3739" s="1"/>
    </row>
    <row r="3740" spans="4:4">
      <c r="D3740" s="1"/>
    </row>
    <row r="3741" spans="4:4">
      <c r="D3741" s="1"/>
    </row>
    <row r="3742" spans="4:4">
      <c r="D3742" s="1"/>
    </row>
    <row r="3743" spans="4:4">
      <c r="D3743" s="1"/>
    </row>
    <row r="3744" spans="4:4">
      <c r="D3744" s="1"/>
    </row>
    <row r="3745" spans="4:4">
      <c r="D3745" s="1"/>
    </row>
    <row r="3746" spans="4:4">
      <c r="D3746" s="1"/>
    </row>
    <row r="3747" spans="4:4">
      <c r="D3747" s="1"/>
    </row>
    <row r="3748" spans="4:4">
      <c r="D3748" s="1"/>
    </row>
    <row r="3749" spans="4:4">
      <c r="D3749" s="1"/>
    </row>
    <row r="3750" spans="4:4">
      <c r="D3750" s="1"/>
    </row>
    <row r="3751" spans="4:4">
      <c r="D3751" s="1"/>
    </row>
    <row r="3752" spans="4:4">
      <c r="D3752" s="1"/>
    </row>
    <row r="3753" spans="4:4">
      <c r="D3753" s="1"/>
    </row>
    <row r="3754" spans="4:4">
      <c r="D3754" s="1"/>
    </row>
    <row r="3755" spans="4:4">
      <c r="D3755" s="1"/>
    </row>
    <row r="3756" spans="4:4">
      <c r="D3756" s="1"/>
    </row>
    <row r="3757" spans="4:4">
      <c r="D3757" s="1"/>
    </row>
    <row r="3758" spans="4:4">
      <c r="D3758" s="1"/>
    </row>
    <row r="3759" spans="4:4">
      <c r="D3759" s="1"/>
    </row>
    <row r="3760" spans="4:4">
      <c r="D3760" s="1"/>
    </row>
    <row r="3761" spans="4:4">
      <c r="D3761" s="1"/>
    </row>
    <row r="3762" spans="4:4">
      <c r="D3762" s="1"/>
    </row>
    <row r="3763" spans="4:4">
      <c r="D3763" s="1"/>
    </row>
    <row r="3764" spans="4:4">
      <c r="D3764" s="1"/>
    </row>
    <row r="3765" spans="4:4">
      <c r="D3765" s="1"/>
    </row>
    <row r="3766" spans="4:4">
      <c r="D3766" s="1"/>
    </row>
    <row r="3767" spans="4:4">
      <c r="D3767" s="1"/>
    </row>
    <row r="3768" spans="4:4">
      <c r="D3768" s="1"/>
    </row>
    <row r="3769" spans="4:4">
      <c r="D3769" s="1"/>
    </row>
    <row r="3770" spans="4:4">
      <c r="D3770" s="1"/>
    </row>
    <row r="3771" spans="4:4">
      <c r="D3771" s="1"/>
    </row>
    <row r="3772" spans="4:4">
      <c r="D3772" s="1"/>
    </row>
    <row r="3773" spans="4:4">
      <c r="D3773" s="1"/>
    </row>
    <row r="3774" spans="4:4">
      <c r="D3774" s="1"/>
    </row>
    <row r="3775" spans="4:4">
      <c r="D3775" s="1"/>
    </row>
    <row r="3776" spans="4:4">
      <c r="D3776" s="1"/>
    </row>
    <row r="3777" spans="4:4">
      <c r="D3777" s="1"/>
    </row>
    <row r="3778" spans="4:4">
      <c r="D3778" s="1"/>
    </row>
    <row r="3779" spans="4:4">
      <c r="D3779" s="1"/>
    </row>
    <row r="3780" spans="4:4">
      <c r="D3780" s="1"/>
    </row>
    <row r="3781" spans="4:4">
      <c r="D3781" s="1"/>
    </row>
    <row r="3782" spans="4:4">
      <c r="D3782" s="1"/>
    </row>
    <row r="3783" spans="4:4">
      <c r="D3783" s="1"/>
    </row>
    <row r="3784" spans="4:4">
      <c r="D3784" s="1"/>
    </row>
    <row r="3785" spans="4:4">
      <c r="D3785" s="1"/>
    </row>
    <row r="3786" spans="4:4">
      <c r="D3786" s="1"/>
    </row>
    <row r="3787" spans="4:4">
      <c r="D3787" s="1"/>
    </row>
    <row r="3788" spans="4:4">
      <c r="D3788" s="1"/>
    </row>
    <row r="3789" spans="4:4">
      <c r="D3789" s="1"/>
    </row>
    <row r="3790" spans="4:4">
      <c r="D3790" s="1"/>
    </row>
    <row r="3791" spans="4:4">
      <c r="D3791" s="1"/>
    </row>
    <row r="3792" spans="4:4">
      <c r="D3792" s="1"/>
    </row>
    <row r="3793" spans="4:4">
      <c r="D3793" s="1"/>
    </row>
    <row r="3794" spans="4:4">
      <c r="D3794" s="1"/>
    </row>
    <row r="3795" spans="4:4">
      <c r="D3795" s="1"/>
    </row>
    <row r="3796" spans="4:4">
      <c r="D3796" s="1"/>
    </row>
    <row r="3797" spans="4:4">
      <c r="D3797" s="1"/>
    </row>
    <row r="3798" spans="4:4">
      <c r="D3798" s="1"/>
    </row>
    <row r="3799" spans="4:4">
      <c r="D3799" s="1"/>
    </row>
    <row r="3800" spans="4:4">
      <c r="D3800" s="1"/>
    </row>
    <row r="3801" spans="4:4">
      <c r="D3801" s="1"/>
    </row>
    <row r="3802" spans="4:4">
      <c r="D3802" s="1"/>
    </row>
    <row r="3803" spans="4:4">
      <c r="D3803" s="1"/>
    </row>
    <row r="3804" spans="4:4">
      <c r="D3804" s="1"/>
    </row>
    <row r="3805" spans="4:4">
      <c r="D3805" s="1"/>
    </row>
    <row r="3806" spans="4:4">
      <c r="D3806" s="1"/>
    </row>
    <row r="3807" spans="4:4">
      <c r="D3807" s="1"/>
    </row>
    <row r="3808" spans="4:4">
      <c r="D3808" s="1"/>
    </row>
    <row r="3809" spans="4:4">
      <c r="D3809" s="1"/>
    </row>
    <row r="3810" spans="4:4">
      <c r="D3810" s="1"/>
    </row>
    <row r="3811" spans="4:4">
      <c r="D3811" s="1"/>
    </row>
    <row r="3812" spans="4:4">
      <c r="D3812" s="1"/>
    </row>
    <row r="3813" spans="4:4">
      <c r="D3813" s="1"/>
    </row>
    <row r="3814" spans="4:4">
      <c r="D3814" s="1"/>
    </row>
    <row r="3815" spans="4:4">
      <c r="D3815" s="1"/>
    </row>
    <row r="3816" spans="4:4">
      <c r="D3816" s="1"/>
    </row>
    <row r="3817" spans="4:4">
      <c r="D3817" s="1"/>
    </row>
    <row r="3818" spans="4:4">
      <c r="D3818" s="1"/>
    </row>
    <row r="3819" spans="4:4">
      <c r="D3819" s="1"/>
    </row>
    <row r="3820" spans="4:4">
      <c r="D3820" s="1"/>
    </row>
    <row r="3821" spans="4:4">
      <c r="D3821" s="1"/>
    </row>
    <row r="3822" spans="4:4">
      <c r="D3822" s="1"/>
    </row>
    <row r="3823" spans="4:4">
      <c r="D3823" s="1"/>
    </row>
    <row r="3824" spans="4:4">
      <c r="D3824" s="1"/>
    </row>
    <row r="3825" spans="4:4">
      <c r="D3825" s="1"/>
    </row>
    <row r="3826" spans="4:4">
      <c r="D3826" s="1"/>
    </row>
    <row r="3827" spans="4:4">
      <c r="D3827" s="1"/>
    </row>
    <row r="3828" spans="4:4">
      <c r="D3828" s="1"/>
    </row>
    <row r="3829" spans="4:4">
      <c r="D3829" s="1"/>
    </row>
    <row r="3830" spans="4:4">
      <c r="D3830" s="1"/>
    </row>
    <row r="3831" spans="4:4">
      <c r="D3831" s="1"/>
    </row>
    <row r="3832" spans="4:4">
      <c r="D3832" s="1"/>
    </row>
    <row r="3833" spans="4:4">
      <c r="D3833" s="1"/>
    </row>
    <row r="3834" spans="4:4">
      <c r="D3834" s="1"/>
    </row>
    <row r="3835" spans="4:4">
      <c r="D3835" s="1"/>
    </row>
    <row r="3836" spans="4:4">
      <c r="D3836" s="1"/>
    </row>
    <row r="3837" spans="4:4">
      <c r="D3837" s="1"/>
    </row>
    <row r="3838" spans="4:4">
      <c r="D3838" s="1"/>
    </row>
    <row r="3839" spans="4:4">
      <c r="D3839" s="1"/>
    </row>
    <row r="3840" spans="4:4">
      <c r="D3840" s="1"/>
    </row>
    <row r="3841" spans="4:4">
      <c r="D3841" s="1"/>
    </row>
    <row r="3842" spans="4:4">
      <c r="D3842" s="1"/>
    </row>
    <row r="3843" spans="4:4">
      <c r="D3843" s="1"/>
    </row>
    <row r="3844" spans="4:4">
      <c r="D3844" s="1"/>
    </row>
    <row r="3845" spans="4:4">
      <c r="D3845" s="1"/>
    </row>
    <row r="3846" spans="4:4">
      <c r="D3846" s="1"/>
    </row>
    <row r="3847" spans="4:4">
      <c r="D3847" s="1"/>
    </row>
    <row r="3848" spans="4:4">
      <c r="D3848" s="1"/>
    </row>
    <row r="3849" spans="4:4">
      <c r="D3849" s="1"/>
    </row>
    <row r="3850" spans="4:4">
      <c r="D3850" s="1"/>
    </row>
    <row r="3851" spans="4:4">
      <c r="D3851" s="1"/>
    </row>
    <row r="3852" spans="4:4">
      <c r="D3852" s="1"/>
    </row>
    <row r="3853" spans="4:4">
      <c r="D3853" s="1"/>
    </row>
    <row r="3854" spans="4:4">
      <c r="D3854" s="1"/>
    </row>
    <row r="3855" spans="4:4">
      <c r="D3855" s="1"/>
    </row>
    <row r="3856" spans="4:4">
      <c r="D3856" s="1"/>
    </row>
    <row r="3857" spans="4:4">
      <c r="D3857" s="1"/>
    </row>
    <row r="3858" spans="4:4">
      <c r="D3858" s="1"/>
    </row>
    <row r="3859" spans="4:4">
      <c r="D3859" s="1"/>
    </row>
    <row r="3860" spans="4:4">
      <c r="D3860" s="1"/>
    </row>
    <row r="3861" spans="4:4">
      <c r="D3861" s="1"/>
    </row>
    <row r="3862" spans="4:4">
      <c r="D3862" s="1"/>
    </row>
    <row r="3863" spans="4:4">
      <c r="D3863" s="1"/>
    </row>
    <row r="3864" spans="4:4">
      <c r="D3864" s="1"/>
    </row>
    <row r="3865" spans="4:4">
      <c r="D3865" s="1"/>
    </row>
    <row r="3866" spans="4:4">
      <c r="D3866" s="1"/>
    </row>
    <row r="3867" spans="4:4">
      <c r="D3867" s="1"/>
    </row>
    <row r="3868" spans="4:4">
      <c r="D3868" s="1"/>
    </row>
    <row r="3869" spans="4:4">
      <c r="D3869" s="1"/>
    </row>
    <row r="3870" spans="4:4">
      <c r="D3870" s="1"/>
    </row>
    <row r="3871" spans="4:4">
      <c r="D3871" s="1"/>
    </row>
    <row r="3872" spans="4:4">
      <c r="D3872" s="1"/>
    </row>
    <row r="3873" spans="4:4">
      <c r="D3873" s="1"/>
    </row>
    <row r="3874" spans="4:4">
      <c r="D3874" s="1"/>
    </row>
    <row r="3875" spans="4:4">
      <c r="D3875" s="1"/>
    </row>
    <row r="3876" spans="4:4">
      <c r="D3876" s="1"/>
    </row>
    <row r="3877" spans="4:4">
      <c r="D3877" s="1"/>
    </row>
    <row r="3878" spans="4:4">
      <c r="D3878" s="1"/>
    </row>
    <row r="3879" spans="4:4">
      <c r="D3879" s="1"/>
    </row>
    <row r="3880" spans="4:4">
      <c r="D3880" s="1"/>
    </row>
    <row r="3881" spans="4:4">
      <c r="D3881" s="1"/>
    </row>
    <row r="3882" spans="4:4">
      <c r="D3882" s="1"/>
    </row>
    <row r="3883" spans="4:4">
      <c r="D3883" s="1"/>
    </row>
    <row r="3884" spans="4:4">
      <c r="D3884" s="1"/>
    </row>
    <row r="3885" spans="4:4">
      <c r="D3885" s="1"/>
    </row>
    <row r="3886" spans="4:4">
      <c r="D3886" s="1"/>
    </row>
    <row r="3887" spans="4:4">
      <c r="D3887" s="1"/>
    </row>
    <row r="3888" spans="4:4">
      <c r="D3888" s="1"/>
    </row>
    <row r="3889" spans="4:4">
      <c r="D3889" s="1"/>
    </row>
    <row r="3890" spans="4:4">
      <c r="D3890" s="1"/>
    </row>
    <row r="3891" spans="4:4">
      <c r="D3891" s="1"/>
    </row>
    <row r="3892" spans="4:4">
      <c r="D3892" s="1"/>
    </row>
    <row r="3893" spans="4:4">
      <c r="D3893" s="1"/>
    </row>
    <row r="3894" spans="4:4">
      <c r="D3894" s="1"/>
    </row>
    <row r="3895" spans="4:4">
      <c r="D3895" s="1"/>
    </row>
    <row r="3896" spans="4:4">
      <c r="D3896" s="1"/>
    </row>
    <row r="3897" spans="4:4">
      <c r="D3897" s="1"/>
    </row>
    <row r="3898" spans="4:4">
      <c r="D3898" s="1"/>
    </row>
    <row r="3899" spans="4:4">
      <c r="D3899" s="1"/>
    </row>
    <row r="3900" spans="4:4">
      <c r="D3900" s="1"/>
    </row>
    <row r="3901" spans="4:4">
      <c r="D3901" s="1"/>
    </row>
    <row r="3902" spans="4:4">
      <c r="D3902" s="1"/>
    </row>
    <row r="3903" spans="4:4">
      <c r="D3903" s="1"/>
    </row>
    <row r="3904" spans="4:4">
      <c r="D3904" s="1"/>
    </row>
    <row r="3905" spans="4:4">
      <c r="D3905" s="1"/>
    </row>
    <row r="3906" spans="4:4">
      <c r="D3906" s="1"/>
    </row>
    <row r="3907" spans="4:4">
      <c r="D3907" s="1"/>
    </row>
    <row r="3908" spans="4:4">
      <c r="D3908" s="1"/>
    </row>
    <row r="3909" spans="4:4">
      <c r="D3909" s="1"/>
    </row>
    <row r="3910" spans="4:4">
      <c r="D3910" s="1"/>
    </row>
    <row r="3911" spans="4:4">
      <c r="D3911" s="1"/>
    </row>
    <row r="3912" spans="4:4">
      <c r="D3912" s="1"/>
    </row>
    <row r="3913" spans="4:4">
      <c r="D3913" s="1"/>
    </row>
    <row r="3914" spans="4:4">
      <c r="D3914" s="1"/>
    </row>
    <row r="3915" spans="4:4">
      <c r="D3915" s="1"/>
    </row>
    <row r="3916" spans="4:4">
      <c r="D3916" s="1"/>
    </row>
    <row r="3917" spans="4:4">
      <c r="D3917" s="1"/>
    </row>
    <row r="3918" spans="4:4">
      <c r="D3918" s="1"/>
    </row>
    <row r="3919" spans="4:4">
      <c r="D3919" s="1"/>
    </row>
    <row r="3920" spans="4:4">
      <c r="D3920" s="1"/>
    </row>
    <row r="3921" spans="4:4">
      <c r="D3921" s="1"/>
    </row>
    <row r="3922" spans="4:4">
      <c r="D3922" s="1"/>
    </row>
    <row r="3923" spans="4:4">
      <c r="D3923" s="1"/>
    </row>
    <row r="3924" spans="4:4">
      <c r="D3924" s="1"/>
    </row>
    <row r="3925" spans="4:4">
      <c r="D3925" s="1"/>
    </row>
    <row r="3926" spans="4:4">
      <c r="D3926" s="1"/>
    </row>
    <row r="3927" spans="4:4">
      <c r="D3927" s="1"/>
    </row>
    <row r="3928" spans="4:4">
      <c r="D3928" s="1"/>
    </row>
    <row r="3929" spans="4:4">
      <c r="D3929" s="1"/>
    </row>
    <row r="3930" spans="4:4">
      <c r="D3930" s="1"/>
    </row>
    <row r="3931" spans="4:4">
      <c r="D3931" s="1"/>
    </row>
    <row r="3932" spans="4:4">
      <c r="D3932" s="1"/>
    </row>
    <row r="3933" spans="4:4">
      <c r="D3933" s="1"/>
    </row>
    <row r="3934" spans="4:4">
      <c r="D3934" s="1"/>
    </row>
    <row r="3935" spans="4:4">
      <c r="D3935" s="1"/>
    </row>
    <row r="3936" spans="4:4">
      <c r="D3936" s="1"/>
    </row>
    <row r="3937" spans="4:4">
      <c r="D3937" s="1"/>
    </row>
    <row r="3938" spans="4:4">
      <c r="D3938" s="1"/>
    </row>
    <row r="3939" spans="4:4">
      <c r="D3939" s="1"/>
    </row>
    <row r="3940" spans="4:4">
      <c r="D3940" s="1"/>
    </row>
    <row r="3941" spans="4:4">
      <c r="D3941" s="1"/>
    </row>
    <row r="3942" spans="4:4">
      <c r="D3942" s="1"/>
    </row>
    <row r="3943" spans="4:4">
      <c r="D3943" s="1"/>
    </row>
    <row r="3944" spans="4:4">
      <c r="D3944" s="1"/>
    </row>
    <row r="3945" spans="4:4">
      <c r="D3945" s="1"/>
    </row>
    <row r="3946" spans="4:4">
      <c r="D3946" s="1"/>
    </row>
    <row r="3947" spans="4:4">
      <c r="D3947" s="1"/>
    </row>
    <row r="3948" spans="4:4">
      <c r="D3948" s="1"/>
    </row>
    <row r="3949" spans="4:4">
      <c r="D3949" s="1"/>
    </row>
    <row r="3950" spans="4:4">
      <c r="D3950" s="1"/>
    </row>
    <row r="3951" spans="4:4">
      <c r="D3951" s="1"/>
    </row>
    <row r="3952" spans="4:4">
      <c r="D3952" s="1"/>
    </row>
    <row r="3953" spans="4:4">
      <c r="D3953" s="1"/>
    </row>
    <row r="3954" spans="4:4">
      <c r="D3954" s="1"/>
    </row>
    <row r="3955" spans="4:4">
      <c r="D3955" s="1"/>
    </row>
    <row r="3956" spans="4:4">
      <c r="D3956" s="1"/>
    </row>
    <row r="3957" spans="4:4">
      <c r="D3957" s="1"/>
    </row>
    <row r="3958" spans="4:4">
      <c r="D3958" s="1"/>
    </row>
    <row r="3959" spans="4:4">
      <c r="D3959" s="1"/>
    </row>
    <row r="3960" spans="4:4">
      <c r="D3960" s="1"/>
    </row>
    <row r="3961" spans="4:4">
      <c r="D3961" s="1"/>
    </row>
    <row r="3962" spans="4:4">
      <c r="D3962" s="1"/>
    </row>
    <row r="3963" spans="4:4">
      <c r="D3963" s="1"/>
    </row>
    <row r="3964" spans="4:4">
      <c r="D3964" s="1"/>
    </row>
    <row r="3965" spans="4:4">
      <c r="D3965" s="1"/>
    </row>
    <row r="3966" spans="4:4">
      <c r="D3966" s="1"/>
    </row>
    <row r="3967" spans="4:4">
      <c r="D3967" s="1"/>
    </row>
    <row r="3968" spans="4:4">
      <c r="D3968" s="1"/>
    </row>
    <row r="3969" spans="4:4">
      <c r="D3969" s="1"/>
    </row>
    <row r="3970" spans="4:4">
      <c r="D3970" s="1"/>
    </row>
    <row r="3971" spans="4:4">
      <c r="D3971" s="1"/>
    </row>
    <row r="3972" spans="4:4">
      <c r="D3972" s="1"/>
    </row>
    <row r="3973" spans="4:4">
      <c r="D3973" s="1"/>
    </row>
    <row r="3974" spans="4:4">
      <c r="D3974" s="1"/>
    </row>
    <row r="3975" spans="4:4">
      <c r="D3975" s="1"/>
    </row>
    <row r="3976" spans="4:4">
      <c r="D3976" s="1"/>
    </row>
    <row r="3977" spans="4:4">
      <c r="D3977" s="1"/>
    </row>
    <row r="3978" spans="4:4">
      <c r="D3978" s="1"/>
    </row>
    <row r="3979" spans="4:4">
      <c r="D3979" s="1"/>
    </row>
    <row r="3980" spans="4:4">
      <c r="D3980" s="1"/>
    </row>
    <row r="3981" spans="4:4">
      <c r="D3981" s="1"/>
    </row>
    <row r="3982" spans="4:4">
      <c r="D3982" s="1"/>
    </row>
    <row r="3983" spans="4:4">
      <c r="D3983" s="1"/>
    </row>
    <row r="3984" spans="4:4">
      <c r="D3984" s="1"/>
    </row>
    <row r="3985" spans="4:4">
      <c r="D3985" s="1"/>
    </row>
    <row r="3986" spans="4:4">
      <c r="D3986" s="1"/>
    </row>
    <row r="3987" spans="4:4">
      <c r="D3987" s="1"/>
    </row>
    <row r="3988" spans="4:4">
      <c r="D3988" s="1"/>
    </row>
    <row r="3989" spans="4:4">
      <c r="D3989" s="1"/>
    </row>
    <row r="3990" spans="4:4">
      <c r="D3990" s="1"/>
    </row>
    <row r="3991" spans="4:4">
      <c r="D3991" s="1"/>
    </row>
    <row r="3992" spans="4:4">
      <c r="D3992" s="1"/>
    </row>
    <row r="3993" spans="4:4">
      <c r="D3993" s="1"/>
    </row>
    <row r="3994" spans="4:4">
      <c r="D3994" s="1"/>
    </row>
    <row r="3995" spans="4:4">
      <c r="D3995" s="1"/>
    </row>
    <row r="3996" spans="4:4">
      <c r="D3996" s="1"/>
    </row>
    <row r="3997" spans="4:4">
      <c r="D3997" s="1"/>
    </row>
    <row r="3998" spans="4:4">
      <c r="D3998" s="1"/>
    </row>
    <row r="3999" spans="4:4">
      <c r="D3999" s="1"/>
    </row>
    <row r="4000" spans="4:4">
      <c r="D4000" s="1"/>
    </row>
    <row r="4001" spans="4:4">
      <c r="D4001" s="1"/>
    </row>
    <row r="4002" spans="4:4">
      <c r="D4002" s="1"/>
    </row>
    <row r="4003" spans="4:4">
      <c r="D4003" s="1"/>
    </row>
    <row r="4004" spans="4:4">
      <c r="D4004" s="1"/>
    </row>
    <row r="4005" spans="4:4">
      <c r="D4005" s="1"/>
    </row>
    <row r="4006" spans="4:4">
      <c r="D4006" s="1"/>
    </row>
    <row r="4007" spans="4:4">
      <c r="D4007" s="1"/>
    </row>
    <row r="4008" spans="4:4">
      <c r="D4008" s="1"/>
    </row>
    <row r="4009" spans="4:4">
      <c r="D4009" s="1"/>
    </row>
    <row r="4010" spans="4:4">
      <c r="D4010" s="1"/>
    </row>
    <row r="4011" spans="4:4">
      <c r="D4011" s="1"/>
    </row>
    <row r="4012" spans="4:4">
      <c r="D4012" s="1"/>
    </row>
    <row r="4013" spans="4:4">
      <c r="D4013" s="1"/>
    </row>
    <row r="4014" spans="4:4">
      <c r="D4014" s="1"/>
    </row>
    <row r="4015" spans="4:4">
      <c r="D4015" s="1"/>
    </row>
    <row r="4016" spans="4:4">
      <c r="D4016" s="1"/>
    </row>
    <row r="4017" spans="4:4">
      <c r="D4017" s="1"/>
    </row>
    <row r="4018" spans="4:4">
      <c r="D4018" s="1"/>
    </row>
    <row r="4019" spans="4:4">
      <c r="D4019" s="1"/>
    </row>
    <row r="4020" spans="4:4">
      <c r="D4020" s="1"/>
    </row>
    <row r="4021" spans="4:4">
      <c r="D4021" s="1"/>
    </row>
    <row r="4022" spans="4:4">
      <c r="D4022" s="1"/>
    </row>
    <row r="4023" spans="4:4">
      <c r="D4023" s="1"/>
    </row>
    <row r="4024" spans="4:4">
      <c r="D4024" s="1"/>
    </row>
    <row r="4025" spans="4:4">
      <c r="D4025" s="1"/>
    </row>
    <row r="4026" spans="4:4">
      <c r="D4026" s="1"/>
    </row>
    <row r="4027" spans="4:4">
      <c r="D4027" s="1"/>
    </row>
    <row r="4028" spans="4:4">
      <c r="D4028" s="1"/>
    </row>
    <row r="4029" spans="4:4">
      <c r="D4029" s="1"/>
    </row>
    <row r="4030" spans="4:4">
      <c r="D4030" s="1"/>
    </row>
    <row r="4031" spans="4:4">
      <c r="D4031" s="1"/>
    </row>
    <row r="4032" spans="4:4">
      <c r="D4032" s="1"/>
    </row>
    <row r="4033" spans="4:4">
      <c r="D4033" s="1"/>
    </row>
    <row r="4034" spans="4:4">
      <c r="D4034" s="1"/>
    </row>
    <row r="4035" spans="4:4">
      <c r="D4035" s="1"/>
    </row>
    <row r="4036" spans="4:4">
      <c r="D4036" s="1"/>
    </row>
    <row r="4037" spans="4:4">
      <c r="D4037" s="1"/>
    </row>
    <row r="4038" spans="4:4">
      <c r="D4038" s="1"/>
    </row>
    <row r="4039" spans="4:4">
      <c r="D4039" s="1"/>
    </row>
    <row r="4040" spans="4:4">
      <c r="D4040" s="1"/>
    </row>
    <row r="4041" spans="4:4">
      <c r="D4041" s="1"/>
    </row>
    <row r="4042" spans="4:4">
      <c r="D4042" s="1"/>
    </row>
    <row r="4043" spans="4:4">
      <c r="D4043" s="1"/>
    </row>
    <row r="4044" spans="4:4">
      <c r="D4044" s="1"/>
    </row>
    <row r="4045" spans="4:4">
      <c r="D4045" s="1"/>
    </row>
    <row r="4046" spans="4:4">
      <c r="D4046" s="1"/>
    </row>
    <row r="4047" spans="4:4">
      <c r="D4047" s="1"/>
    </row>
    <row r="4048" spans="4:4">
      <c r="D4048" s="1"/>
    </row>
    <row r="4049" spans="4:4">
      <c r="D4049" s="1"/>
    </row>
    <row r="4050" spans="4:4">
      <c r="D4050" s="1"/>
    </row>
    <row r="4051" spans="4:4">
      <c r="D4051" s="1"/>
    </row>
    <row r="4052" spans="4:4">
      <c r="D4052" s="1"/>
    </row>
    <row r="4053" spans="4:4">
      <c r="D4053" s="1"/>
    </row>
    <row r="4054" spans="4:4">
      <c r="D4054" s="1"/>
    </row>
    <row r="4055" spans="4:4">
      <c r="D4055" s="1"/>
    </row>
    <row r="4056" spans="4:4">
      <c r="D4056" s="1"/>
    </row>
    <row r="4057" spans="4:4">
      <c r="D4057" s="1"/>
    </row>
    <row r="4058" spans="4:4">
      <c r="D4058" s="1"/>
    </row>
    <row r="4059" spans="4:4">
      <c r="D4059" s="1"/>
    </row>
    <row r="4060" spans="4:4">
      <c r="D4060" s="1"/>
    </row>
    <row r="4061" spans="4:4">
      <c r="D4061" s="1"/>
    </row>
    <row r="4062" spans="4:4">
      <c r="D4062" s="1"/>
    </row>
    <row r="4063" spans="4:4">
      <c r="D4063" s="1"/>
    </row>
    <row r="4064" spans="4:4">
      <c r="D4064" s="1"/>
    </row>
    <row r="4065" spans="4:4">
      <c r="D4065" s="1"/>
    </row>
    <row r="4066" spans="4:4">
      <c r="D4066" s="1"/>
    </row>
    <row r="4067" spans="4:4">
      <c r="D4067" s="1"/>
    </row>
    <row r="4068" spans="4:4">
      <c r="D4068" s="1"/>
    </row>
    <row r="4069" spans="4:4">
      <c r="D4069" s="1"/>
    </row>
    <row r="4070" spans="4:4">
      <c r="D4070" s="1"/>
    </row>
    <row r="4071" spans="4:4">
      <c r="D4071" s="1"/>
    </row>
    <row r="4072" spans="4:4">
      <c r="D4072" s="1"/>
    </row>
    <row r="4073" spans="4:4">
      <c r="D4073" s="1"/>
    </row>
    <row r="4074" spans="4:4">
      <c r="D4074" s="1"/>
    </row>
    <row r="4075" spans="4:4">
      <c r="D4075" s="1"/>
    </row>
    <row r="4076" spans="4:4">
      <c r="D4076" s="1"/>
    </row>
    <row r="4077" spans="4:4">
      <c r="D4077" s="1"/>
    </row>
    <row r="4078" spans="4:4">
      <c r="D4078" s="1"/>
    </row>
    <row r="4079" spans="4:4">
      <c r="D4079" s="1"/>
    </row>
    <row r="4080" spans="4:4">
      <c r="D4080" s="1"/>
    </row>
    <row r="4081" spans="4:4">
      <c r="D4081" s="1"/>
    </row>
    <row r="4082" spans="4:4">
      <c r="D4082" s="1"/>
    </row>
    <row r="4083" spans="4:4">
      <c r="D4083" s="1"/>
    </row>
    <row r="4084" spans="4:4">
      <c r="D4084" s="1"/>
    </row>
    <row r="4085" spans="4:4">
      <c r="D4085" s="1"/>
    </row>
    <row r="4086" spans="4:4">
      <c r="D4086" s="1"/>
    </row>
    <row r="4087" spans="4:4">
      <c r="D4087" s="1"/>
    </row>
    <row r="4088" spans="4:4">
      <c r="D4088" s="1"/>
    </row>
    <row r="4089" spans="4:4">
      <c r="D4089" s="1"/>
    </row>
    <row r="4090" spans="4:4">
      <c r="D4090" s="1"/>
    </row>
    <row r="4091" spans="4:4">
      <c r="D4091" s="1"/>
    </row>
    <row r="4092" spans="4:4">
      <c r="D4092" s="1"/>
    </row>
    <row r="4093" spans="4:4">
      <c r="D4093" s="1"/>
    </row>
    <row r="4094" spans="4:4">
      <c r="D4094" s="1"/>
    </row>
    <row r="4095" spans="4:4">
      <c r="D4095" s="1"/>
    </row>
    <row r="4096" spans="4:4">
      <c r="D4096" s="1"/>
    </row>
    <row r="4097" spans="4:4">
      <c r="D4097" s="1"/>
    </row>
    <row r="4098" spans="4:4">
      <c r="D4098" s="1"/>
    </row>
    <row r="4099" spans="4:4">
      <c r="D4099" s="1"/>
    </row>
    <row r="4100" spans="4:4">
      <c r="D4100" s="1"/>
    </row>
    <row r="4101" spans="4:4">
      <c r="D4101" s="1"/>
    </row>
    <row r="4102" spans="4:4">
      <c r="D4102" s="1"/>
    </row>
    <row r="4103" spans="4:4">
      <c r="D4103" s="1"/>
    </row>
    <row r="4104" spans="4:4">
      <c r="D4104" s="1"/>
    </row>
    <row r="4105" spans="4:4">
      <c r="D4105" s="1"/>
    </row>
    <row r="4106" spans="4:4">
      <c r="D4106" s="1"/>
    </row>
    <row r="4107" spans="4:4">
      <c r="D4107" s="1"/>
    </row>
    <row r="4108" spans="4:4">
      <c r="D4108" s="1"/>
    </row>
    <row r="4109" spans="4:4">
      <c r="D4109" s="1"/>
    </row>
    <row r="4110" spans="4:4">
      <c r="D4110" s="1"/>
    </row>
    <row r="4111" spans="4:4">
      <c r="D4111" s="1"/>
    </row>
    <row r="4112" spans="4:4">
      <c r="D4112" s="1"/>
    </row>
    <row r="4113" spans="4:4">
      <c r="D4113" s="1"/>
    </row>
    <row r="4114" spans="4:4">
      <c r="D4114" s="1"/>
    </row>
    <row r="4115" spans="4:4">
      <c r="D4115" s="1"/>
    </row>
    <row r="4116" spans="4:4">
      <c r="D4116" s="1"/>
    </row>
    <row r="4117" spans="4:4">
      <c r="D4117" s="1"/>
    </row>
    <row r="4118" spans="4:4">
      <c r="D4118" s="1"/>
    </row>
    <row r="4119" spans="4:4">
      <c r="D4119" s="1"/>
    </row>
    <row r="4120" spans="4:4">
      <c r="D4120" s="1"/>
    </row>
    <row r="4121" spans="4:4">
      <c r="D4121" s="1"/>
    </row>
    <row r="4122" spans="4:4">
      <c r="D4122" s="1"/>
    </row>
    <row r="4123" spans="4:4">
      <c r="D4123" s="1"/>
    </row>
    <row r="4124" spans="4:4">
      <c r="D4124" s="1"/>
    </row>
    <row r="4125" spans="4:4">
      <c r="D4125" s="1"/>
    </row>
    <row r="4126" spans="4:4">
      <c r="D4126" s="1"/>
    </row>
    <row r="4127" spans="4:4">
      <c r="D4127" s="1"/>
    </row>
    <row r="4128" spans="4:4">
      <c r="D4128" s="1"/>
    </row>
    <row r="4129" spans="4:4">
      <c r="D4129" s="1"/>
    </row>
    <row r="4130" spans="4:4">
      <c r="D4130" s="1"/>
    </row>
    <row r="4131" spans="4:4">
      <c r="D4131" s="1"/>
    </row>
    <row r="4132" spans="4:4">
      <c r="D4132" s="1"/>
    </row>
    <row r="4133" spans="4:4">
      <c r="D4133" s="1"/>
    </row>
    <row r="4134" spans="4:4">
      <c r="D4134" s="1"/>
    </row>
    <row r="4135" spans="4:4">
      <c r="D4135" s="1"/>
    </row>
    <row r="4136" spans="4:4">
      <c r="D4136" s="1"/>
    </row>
    <row r="4137" spans="4:4">
      <c r="D4137" s="1"/>
    </row>
    <row r="4138" spans="4:4">
      <c r="D4138" s="1"/>
    </row>
    <row r="4139" spans="4:4">
      <c r="D4139" s="1"/>
    </row>
    <row r="4140" spans="4:4">
      <c r="D4140" s="1"/>
    </row>
    <row r="4141" spans="4:4">
      <c r="D4141" s="1"/>
    </row>
    <row r="4142" spans="4:4">
      <c r="D4142" s="1"/>
    </row>
    <row r="4143" spans="4:4">
      <c r="D4143" s="1"/>
    </row>
    <row r="4144" spans="4:4">
      <c r="D4144" s="1"/>
    </row>
    <row r="4145" spans="4:4">
      <c r="D4145" s="1"/>
    </row>
    <row r="4146" spans="4:4">
      <c r="D4146" s="1"/>
    </row>
    <row r="4147" spans="4:4">
      <c r="D4147" s="1"/>
    </row>
    <row r="4148" spans="4:4">
      <c r="D4148" s="1"/>
    </row>
    <row r="4149" spans="4:4">
      <c r="D4149" s="1"/>
    </row>
    <row r="4150" spans="4:4">
      <c r="D4150" s="1"/>
    </row>
    <row r="4151" spans="4:4">
      <c r="D4151" s="1"/>
    </row>
    <row r="4152" spans="4:4">
      <c r="D4152" s="1"/>
    </row>
    <row r="4153" spans="4:4">
      <c r="D4153" s="1"/>
    </row>
    <row r="4154" spans="4:4">
      <c r="D4154" s="1"/>
    </row>
    <row r="4155" spans="4:4">
      <c r="D4155" s="1"/>
    </row>
    <row r="4156" spans="4:4">
      <c r="D4156" s="1"/>
    </row>
    <row r="4157" spans="4:4">
      <c r="D4157" s="1"/>
    </row>
    <row r="4158" spans="4:4">
      <c r="D4158" s="1"/>
    </row>
    <row r="4159" spans="4:4">
      <c r="D4159" s="1"/>
    </row>
    <row r="4160" spans="4:4">
      <c r="D4160" s="1"/>
    </row>
    <row r="4161" spans="4:4">
      <c r="D4161" s="1"/>
    </row>
    <row r="4162" spans="4:4">
      <c r="D4162" s="1"/>
    </row>
    <row r="4163" spans="4:4">
      <c r="D4163" s="1"/>
    </row>
    <row r="4164" spans="4:4">
      <c r="D4164" s="1"/>
    </row>
    <row r="4165" spans="4:4">
      <c r="D4165" s="1"/>
    </row>
    <row r="4166" spans="4:4">
      <c r="D4166" s="1"/>
    </row>
    <row r="4167" spans="4:4">
      <c r="D4167" s="1"/>
    </row>
    <row r="4168" spans="4:4">
      <c r="D4168" s="1"/>
    </row>
    <row r="4169" spans="4:4">
      <c r="D4169" s="1"/>
    </row>
    <row r="4170" spans="4:4">
      <c r="D4170" s="1"/>
    </row>
    <row r="4171" spans="4:4">
      <c r="D4171" s="1"/>
    </row>
    <row r="4172" spans="4:4">
      <c r="D4172" s="1"/>
    </row>
    <row r="4173" spans="4:4">
      <c r="D4173" s="1"/>
    </row>
    <row r="4174" spans="4:4">
      <c r="D4174" s="1"/>
    </row>
    <row r="4175" spans="4:4">
      <c r="D4175" s="1"/>
    </row>
    <row r="4176" spans="4:4">
      <c r="D4176" s="1"/>
    </row>
    <row r="4177" spans="4:4">
      <c r="D4177" s="1"/>
    </row>
    <row r="4178" spans="4:4">
      <c r="D4178" s="1"/>
    </row>
    <row r="4179" spans="4:4">
      <c r="D4179" s="1"/>
    </row>
    <row r="4180" spans="4:4">
      <c r="D4180" s="1"/>
    </row>
    <row r="4181" spans="4:4">
      <c r="D4181" s="1"/>
    </row>
    <row r="4182" spans="4:4">
      <c r="D4182" s="1"/>
    </row>
    <row r="4183" spans="4:4">
      <c r="D4183" s="1"/>
    </row>
    <row r="4184" spans="4:4">
      <c r="D4184" s="1"/>
    </row>
    <row r="4185" spans="4:4">
      <c r="D4185" s="1"/>
    </row>
    <row r="4186" spans="4:4">
      <c r="D4186" s="1"/>
    </row>
    <row r="4187" spans="4:4">
      <c r="D4187" s="1"/>
    </row>
    <row r="4188" spans="4:4">
      <c r="D4188" s="1"/>
    </row>
    <row r="4189" spans="4:4">
      <c r="D4189" s="1"/>
    </row>
    <row r="4190" spans="4:4">
      <c r="D4190" s="1"/>
    </row>
    <row r="4191" spans="4:4">
      <c r="D4191" s="1"/>
    </row>
    <row r="4192" spans="4:4">
      <c r="D4192" s="1"/>
    </row>
    <row r="4193" spans="4:4">
      <c r="D4193" s="1"/>
    </row>
    <row r="4194" spans="4:4">
      <c r="D4194" s="1"/>
    </row>
    <row r="4195" spans="4:4">
      <c r="D4195" s="1"/>
    </row>
    <row r="4196" spans="4:4">
      <c r="D4196" s="1"/>
    </row>
    <row r="4197" spans="4:4">
      <c r="D4197" s="1"/>
    </row>
    <row r="4198" spans="4:4">
      <c r="D4198" s="1"/>
    </row>
    <row r="4199" spans="4:4">
      <c r="D4199" s="1"/>
    </row>
    <row r="4200" spans="4:4">
      <c r="D4200" s="1"/>
    </row>
    <row r="4201" spans="4:4">
      <c r="D4201" s="1"/>
    </row>
    <row r="4202" spans="4:4">
      <c r="D4202" s="1"/>
    </row>
    <row r="4203" spans="4:4">
      <c r="D4203" s="1"/>
    </row>
    <row r="4204" spans="4:4">
      <c r="D4204" s="1"/>
    </row>
    <row r="4205" spans="4:4">
      <c r="D4205" s="1"/>
    </row>
    <row r="4206" spans="4:4">
      <c r="D4206" s="1"/>
    </row>
    <row r="4207" spans="4:4">
      <c r="D4207" s="1"/>
    </row>
    <row r="4208" spans="4:4">
      <c r="D4208" s="1"/>
    </row>
    <row r="4209" spans="4:4">
      <c r="D4209" s="1"/>
    </row>
    <row r="4210" spans="4:4">
      <c r="D4210" s="1"/>
    </row>
    <row r="4211" spans="4:4">
      <c r="D4211" s="1"/>
    </row>
    <row r="4212" spans="4:4">
      <c r="D4212" s="1"/>
    </row>
    <row r="4213" spans="4:4">
      <c r="D4213" s="1"/>
    </row>
    <row r="4214" spans="4:4">
      <c r="D4214" s="1"/>
    </row>
    <row r="4215" spans="4:4">
      <c r="D4215" s="1"/>
    </row>
    <row r="4216" spans="4:4">
      <c r="D4216" s="1"/>
    </row>
    <row r="4217" spans="4:4">
      <c r="D4217" s="1"/>
    </row>
    <row r="4218" spans="4:4">
      <c r="D4218" s="1"/>
    </row>
    <row r="4219" spans="4:4">
      <c r="D4219" s="1"/>
    </row>
    <row r="4220" spans="4:4">
      <c r="D4220" s="1"/>
    </row>
    <row r="4221" spans="4:4">
      <c r="D4221" s="1"/>
    </row>
    <row r="4222" spans="4:4">
      <c r="D4222" s="1"/>
    </row>
    <row r="4223" spans="4:4">
      <c r="D4223" s="1"/>
    </row>
    <row r="4224" spans="4:4">
      <c r="D4224" s="1"/>
    </row>
    <row r="4225" spans="4:4">
      <c r="D4225" s="1"/>
    </row>
    <row r="4226" spans="4:4">
      <c r="D4226" s="1"/>
    </row>
    <row r="4227" spans="4:4">
      <c r="D4227" s="1"/>
    </row>
    <row r="4228" spans="4:4">
      <c r="D4228" s="1"/>
    </row>
    <row r="4229" spans="4:4">
      <c r="D4229" s="1"/>
    </row>
    <row r="4230" spans="4:4">
      <c r="D4230" s="1"/>
    </row>
    <row r="4231" spans="4:4">
      <c r="D4231" s="1"/>
    </row>
    <row r="4232" spans="4:4">
      <c r="D4232" s="1"/>
    </row>
    <row r="4233" spans="4:4">
      <c r="D4233" s="1"/>
    </row>
    <row r="4234" spans="4:4">
      <c r="D4234" s="1"/>
    </row>
    <row r="4235" spans="4:4">
      <c r="D4235" s="1"/>
    </row>
    <row r="4236" spans="4:4">
      <c r="D4236" s="1"/>
    </row>
    <row r="4237" spans="4:4">
      <c r="D4237" s="1"/>
    </row>
    <row r="4238" spans="4:4">
      <c r="D4238" s="1"/>
    </row>
    <row r="4239" spans="4:4">
      <c r="D4239" s="1"/>
    </row>
    <row r="4240" spans="4:4">
      <c r="D4240" s="1"/>
    </row>
    <row r="4241" spans="4:4">
      <c r="D4241" s="1"/>
    </row>
    <row r="4242" spans="4:4">
      <c r="D4242" s="1"/>
    </row>
    <row r="4243" spans="4:4">
      <c r="D4243" s="1"/>
    </row>
    <row r="4244" spans="4:4">
      <c r="D4244" s="1"/>
    </row>
    <row r="4245" spans="4:4">
      <c r="D4245" s="1"/>
    </row>
    <row r="4246" spans="4:4">
      <c r="D4246" s="1"/>
    </row>
    <row r="4247" spans="4:4">
      <c r="D4247" s="1"/>
    </row>
    <row r="4248" spans="4:4">
      <c r="D4248" s="1"/>
    </row>
    <row r="4249" spans="4:4">
      <c r="D4249" s="1"/>
    </row>
    <row r="4250" spans="4:4">
      <c r="D4250" s="1"/>
    </row>
    <row r="4251" spans="4:4">
      <c r="D4251" s="1"/>
    </row>
    <row r="4252" spans="4:4">
      <c r="D4252" s="1"/>
    </row>
    <row r="4253" spans="4:4">
      <c r="D4253" s="1"/>
    </row>
    <row r="4254" spans="4:4">
      <c r="D4254" s="1"/>
    </row>
    <row r="4255" spans="4:4">
      <c r="D4255" s="1"/>
    </row>
    <row r="4256" spans="4:4">
      <c r="D4256" s="1"/>
    </row>
    <row r="4257" spans="4:4">
      <c r="D4257" s="1"/>
    </row>
    <row r="4258" spans="4:4">
      <c r="D4258" s="1"/>
    </row>
    <row r="4259" spans="4:4">
      <c r="D4259" s="1"/>
    </row>
    <row r="4260" spans="4:4">
      <c r="D4260" s="1"/>
    </row>
    <row r="4261" spans="4:4">
      <c r="D4261" s="1"/>
    </row>
    <row r="4262" spans="4:4">
      <c r="D4262" s="1"/>
    </row>
    <row r="4263" spans="4:4">
      <c r="D4263" s="1"/>
    </row>
    <row r="4264" spans="4:4">
      <c r="D4264" s="1"/>
    </row>
    <row r="4265" spans="4:4">
      <c r="D4265" s="1"/>
    </row>
    <row r="4266" spans="4:4">
      <c r="D4266" s="1"/>
    </row>
    <row r="4267" spans="4:4">
      <c r="D4267" s="1"/>
    </row>
    <row r="4268" spans="4:4">
      <c r="D4268" s="1"/>
    </row>
    <row r="4269" spans="4:4">
      <c r="D4269" s="1"/>
    </row>
    <row r="4270" spans="4:4">
      <c r="D4270" s="1"/>
    </row>
    <row r="4271" spans="4:4">
      <c r="D4271" s="1"/>
    </row>
    <row r="4272" spans="4:4">
      <c r="D4272" s="1"/>
    </row>
    <row r="4273" spans="4:4">
      <c r="D4273" s="1"/>
    </row>
    <row r="4274" spans="4:4">
      <c r="D4274" s="1"/>
    </row>
    <row r="4275" spans="4:4">
      <c r="D4275" s="1"/>
    </row>
    <row r="4276" spans="4:4">
      <c r="D4276" s="1"/>
    </row>
    <row r="4277" spans="4:4">
      <c r="D4277" s="1"/>
    </row>
    <row r="4278" spans="4:4">
      <c r="D4278" s="1"/>
    </row>
    <row r="4279" spans="4:4">
      <c r="D4279" s="1"/>
    </row>
    <row r="4280" spans="4:4">
      <c r="D4280" s="1"/>
    </row>
    <row r="4281" spans="4:4">
      <c r="D4281" s="1"/>
    </row>
    <row r="4282" spans="4:4">
      <c r="D4282" s="1"/>
    </row>
    <row r="4283" spans="4:4">
      <c r="D4283" s="1"/>
    </row>
    <row r="4284" spans="4:4">
      <c r="D4284" s="1"/>
    </row>
    <row r="4285" spans="4:4">
      <c r="D4285" s="1"/>
    </row>
    <row r="4286" spans="4:4">
      <c r="D4286" s="1"/>
    </row>
    <row r="4287" spans="4:4">
      <c r="D4287" s="1"/>
    </row>
    <row r="4288" spans="4:4">
      <c r="D4288" s="1"/>
    </row>
    <row r="4289" spans="4:4">
      <c r="D4289" s="1"/>
    </row>
    <row r="4290" spans="4:4">
      <c r="D4290" s="1"/>
    </row>
    <row r="4291" spans="4:4">
      <c r="D4291" s="1"/>
    </row>
    <row r="4292" spans="4:4">
      <c r="D4292" s="1"/>
    </row>
    <row r="4293" spans="4:4">
      <c r="D4293" s="1"/>
    </row>
    <row r="4294" spans="4:4">
      <c r="D4294" s="1"/>
    </row>
    <row r="4295" spans="4:4">
      <c r="D4295" s="1"/>
    </row>
    <row r="4296" spans="4:4">
      <c r="D4296" s="1"/>
    </row>
    <row r="4297" spans="4:4">
      <c r="D4297" s="1"/>
    </row>
    <row r="4298" spans="4:4">
      <c r="D4298" s="1"/>
    </row>
    <row r="4299" spans="4:4">
      <c r="D4299" s="1"/>
    </row>
    <row r="4300" spans="4:4">
      <c r="D4300" s="1"/>
    </row>
    <row r="4301" spans="4:4">
      <c r="D4301" s="1"/>
    </row>
    <row r="4302" spans="4:4">
      <c r="D4302" s="1"/>
    </row>
    <row r="4303" spans="4:4">
      <c r="D4303" s="1"/>
    </row>
    <row r="4304" spans="4:4">
      <c r="D4304" s="1"/>
    </row>
    <row r="4305" spans="4:4">
      <c r="D4305" s="1"/>
    </row>
    <row r="4306" spans="4:4">
      <c r="D4306" s="1"/>
    </row>
    <row r="4307" spans="4:4">
      <c r="D4307" s="1"/>
    </row>
    <row r="4308" spans="4:4">
      <c r="D4308" s="1"/>
    </row>
    <row r="4309" spans="4:4">
      <c r="D4309" s="1"/>
    </row>
    <row r="4310" spans="4:4">
      <c r="D4310" s="1"/>
    </row>
    <row r="4311" spans="4:4">
      <c r="D4311" s="1"/>
    </row>
    <row r="4312" spans="4:4">
      <c r="D4312" s="1"/>
    </row>
    <row r="4313" spans="4:4">
      <c r="D4313" s="1"/>
    </row>
    <row r="4314" spans="4:4">
      <c r="D4314" s="1"/>
    </row>
    <row r="4315" spans="4:4">
      <c r="D4315" s="1"/>
    </row>
    <row r="4316" spans="4:4">
      <c r="D4316" s="1"/>
    </row>
    <row r="4317" spans="4:4">
      <c r="D4317" s="1"/>
    </row>
    <row r="4318" spans="4:4">
      <c r="D4318" s="1"/>
    </row>
    <row r="4319" spans="4:4">
      <c r="D4319" s="1"/>
    </row>
    <row r="4320" spans="4:4">
      <c r="D4320" s="1"/>
    </row>
    <row r="4321" spans="4:4">
      <c r="D4321" s="1"/>
    </row>
    <row r="4322" spans="4:4">
      <c r="D4322" s="1"/>
    </row>
    <row r="4323" spans="4:4">
      <c r="D4323" s="1"/>
    </row>
    <row r="4324" spans="4:4">
      <c r="D4324" s="1"/>
    </row>
    <row r="4325" spans="4:4">
      <c r="D4325" s="1"/>
    </row>
    <row r="4326" spans="4:4">
      <c r="D4326" s="1"/>
    </row>
    <row r="4327" spans="4:4">
      <c r="D4327" s="1"/>
    </row>
    <row r="4328" spans="4:4">
      <c r="D4328" s="1"/>
    </row>
    <row r="4329" spans="4:4">
      <c r="D4329" s="1"/>
    </row>
    <row r="4330" spans="4:4">
      <c r="D4330" s="1"/>
    </row>
    <row r="4331" spans="4:4">
      <c r="D4331" s="1"/>
    </row>
    <row r="4332" spans="4:4">
      <c r="D4332" s="1"/>
    </row>
    <row r="4333" spans="4:4">
      <c r="D4333" s="1"/>
    </row>
    <row r="4334" spans="4:4">
      <c r="D4334" s="1"/>
    </row>
    <row r="4335" spans="4:4">
      <c r="D4335" s="1"/>
    </row>
    <row r="4336" spans="4:4">
      <c r="D4336" s="1"/>
    </row>
    <row r="4337" spans="4:4">
      <c r="D4337" s="1"/>
    </row>
    <row r="4338" spans="4:4">
      <c r="D4338" s="1"/>
    </row>
    <row r="4339" spans="4:4">
      <c r="D4339" s="1"/>
    </row>
    <row r="4340" spans="4:4">
      <c r="D4340" s="1"/>
    </row>
    <row r="4341" spans="4:4">
      <c r="D4341" s="1"/>
    </row>
    <row r="4342" spans="4:4">
      <c r="D4342" s="1"/>
    </row>
    <row r="4343" spans="4:4">
      <c r="D4343" s="1"/>
    </row>
    <row r="4344" spans="4:4">
      <c r="D4344" s="1"/>
    </row>
    <row r="4345" spans="4:4">
      <c r="D4345" s="1"/>
    </row>
    <row r="4346" spans="4:4">
      <c r="D4346" s="1"/>
    </row>
    <row r="4347" spans="4:4">
      <c r="D4347" s="1"/>
    </row>
    <row r="4348" spans="4:4">
      <c r="D4348" s="1"/>
    </row>
    <row r="4349" spans="4:4">
      <c r="D4349" s="1"/>
    </row>
    <row r="4350" spans="4:4">
      <c r="D4350" s="1"/>
    </row>
    <row r="4351" spans="4:4">
      <c r="D4351" s="1"/>
    </row>
    <row r="4352" spans="4:4">
      <c r="D4352" s="1"/>
    </row>
    <row r="4353" spans="4:4">
      <c r="D4353" s="1"/>
    </row>
    <row r="4354" spans="4:4">
      <c r="D4354" s="1"/>
    </row>
    <row r="4355" spans="4:4">
      <c r="D4355" s="1"/>
    </row>
    <row r="4356" spans="4:4">
      <c r="D4356" s="1"/>
    </row>
    <row r="4357" spans="4:4">
      <c r="D4357" s="1"/>
    </row>
    <row r="4358" spans="4:4">
      <c r="D4358" s="1"/>
    </row>
    <row r="4359" spans="4:4">
      <c r="D4359" s="1"/>
    </row>
    <row r="4360" spans="4:4">
      <c r="D4360" s="1"/>
    </row>
    <row r="4361" spans="4:4">
      <c r="D4361" s="1"/>
    </row>
    <row r="4362" spans="4:4">
      <c r="D4362" s="1"/>
    </row>
    <row r="4363" spans="4:4">
      <c r="D4363" s="1"/>
    </row>
    <row r="4364" spans="4:4">
      <c r="D4364" s="1"/>
    </row>
    <row r="4365" spans="4:4">
      <c r="D4365" s="1"/>
    </row>
    <row r="4366" spans="4:4">
      <c r="D4366" s="1"/>
    </row>
    <row r="4367" spans="4:4">
      <c r="D4367" s="1"/>
    </row>
    <row r="4368" spans="4:4">
      <c r="D4368" s="1"/>
    </row>
    <row r="4369" spans="4:4">
      <c r="D4369" s="1"/>
    </row>
    <row r="4370" spans="4:4">
      <c r="D4370" s="1"/>
    </row>
    <row r="4371" spans="4:4">
      <c r="D4371" s="1"/>
    </row>
    <row r="4372" spans="4:4">
      <c r="D4372" s="1"/>
    </row>
    <row r="4373" spans="4:4">
      <c r="D4373" s="1"/>
    </row>
    <row r="4374" spans="4:4">
      <c r="D4374" s="1"/>
    </row>
    <row r="4375" spans="4:4">
      <c r="D4375" s="1"/>
    </row>
    <row r="4376" spans="4:4">
      <c r="D4376" s="1"/>
    </row>
    <row r="4377" spans="4:4">
      <c r="D4377" s="1"/>
    </row>
    <row r="4378" spans="4:4">
      <c r="D4378" s="1"/>
    </row>
    <row r="4379" spans="4:4">
      <c r="D4379" s="1"/>
    </row>
    <row r="4380" spans="4:4">
      <c r="D4380" s="1"/>
    </row>
    <row r="4381" spans="4:4">
      <c r="D4381" s="1"/>
    </row>
    <row r="4382" spans="4:4">
      <c r="D4382" s="1"/>
    </row>
    <row r="4383" spans="4:4">
      <c r="D4383" s="1"/>
    </row>
    <row r="4384" spans="4:4">
      <c r="D4384" s="1"/>
    </row>
    <row r="4385" spans="4:4">
      <c r="D4385" s="1"/>
    </row>
    <row r="4386" spans="4:4">
      <c r="D4386" s="1"/>
    </row>
    <row r="4387" spans="4:4">
      <c r="D4387" s="1"/>
    </row>
    <row r="4388" spans="4:4">
      <c r="D4388" s="1"/>
    </row>
    <row r="4389" spans="4:4">
      <c r="D4389" s="1"/>
    </row>
    <row r="4390" spans="4:4">
      <c r="D4390" s="1"/>
    </row>
    <row r="4391" spans="4:4">
      <c r="D4391" s="1"/>
    </row>
    <row r="4392" spans="4:4">
      <c r="D4392" s="1"/>
    </row>
    <row r="4393" spans="4:4">
      <c r="D4393" s="1"/>
    </row>
    <row r="4394" spans="4:4">
      <c r="D4394" s="1"/>
    </row>
    <row r="4395" spans="4:4">
      <c r="D4395" s="1"/>
    </row>
    <row r="4396" spans="4:4">
      <c r="D4396" s="1"/>
    </row>
    <row r="4397" spans="4:4">
      <c r="D4397" s="1"/>
    </row>
    <row r="4398" spans="4:4">
      <c r="D4398" s="1"/>
    </row>
    <row r="4399" spans="4:4">
      <c r="D4399" s="1"/>
    </row>
    <row r="4400" spans="4:4">
      <c r="D4400" s="1"/>
    </row>
    <row r="4401" spans="4:4">
      <c r="D4401" s="1"/>
    </row>
    <row r="4402" spans="4:4">
      <c r="D4402" s="1"/>
    </row>
    <row r="4403" spans="4:4">
      <c r="D4403" s="1"/>
    </row>
    <row r="4404" spans="4:4">
      <c r="D4404" s="1"/>
    </row>
    <row r="4405" spans="4:4">
      <c r="D4405" s="1"/>
    </row>
    <row r="4406" spans="4:4">
      <c r="D4406" s="1"/>
    </row>
    <row r="4407" spans="4:4">
      <c r="D4407" s="1"/>
    </row>
    <row r="4408" spans="4:4">
      <c r="D4408" s="1"/>
    </row>
    <row r="4409" spans="4:4">
      <c r="D4409" s="1"/>
    </row>
    <row r="4410" spans="4:4">
      <c r="D4410" s="1"/>
    </row>
    <row r="4411" spans="4:4">
      <c r="D4411" s="1"/>
    </row>
    <row r="4412" spans="4:4">
      <c r="D4412" s="1"/>
    </row>
    <row r="4413" spans="4:4">
      <c r="D4413" s="1"/>
    </row>
    <row r="4414" spans="4:4">
      <c r="D4414" s="1"/>
    </row>
    <row r="4415" spans="4:4">
      <c r="D4415" s="1"/>
    </row>
    <row r="4416" spans="4:4">
      <c r="D4416" s="1"/>
    </row>
    <row r="4417" spans="4:4">
      <c r="D4417" s="1"/>
    </row>
    <row r="4418" spans="4:4">
      <c r="D4418" s="1"/>
    </row>
    <row r="4419" spans="4:4">
      <c r="D4419" s="1"/>
    </row>
    <row r="4420" spans="4:4">
      <c r="D4420" s="1"/>
    </row>
    <row r="4421" spans="4:4">
      <c r="D4421" s="1"/>
    </row>
    <row r="4422" spans="4:4">
      <c r="D4422" s="1"/>
    </row>
    <row r="4423" spans="4:4">
      <c r="D4423" s="1"/>
    </row>
    <row r="4424" spans="4:4">
      <c r="D4424" s="1"/>
    </row>
    <row r="4425" spans="4:4">
      <c r="D4425" s="1"/>
    </row>
    <row r="4426" spans="4:4">
      <c r="D4426" s="1"/>
    </row>
    <row r="4427" spans="4:4">
      <c r="D4427" s="1"/>
    </row>
    <row r="4428" spans="4:4">
      <c r="D4428" s="1"/>
    </row>
    <row r="4429" spans="4:4">
      <c r="D4429" s="1"/>
    </row>
    <row r="4430" spans="4:4">
      <c r="D4430" s="1"/>
    </row>
    <row r="4431" spans="4:4">
      <c r="D4431" s="1"/>
    </row>
    <row r="4432" spans="4:4">
      <c r="D4432" s="1"/>
    </row>
    <row r="4433" spans="4:4">
      <c r="D4433" s="1"/>
    </row>
    <row r="4434" spans="4:4">
      <c r="D4434" s="1"/>
    </row>
    <row r="4435" spans="4:4">
      <c r="D4435" s="1"/>
    </row>
    <row r="4436" spans="4:4">
      <c r="D4436" s="1"/>
    </row>
    <row r="4437" spans="4:4">
      <c r="D4437" s="1"/>
    </row>
    <row r="4438" spans="4:4">
      <c r="D4438" s="1"/>
    </row>
    <row r="4439" spans="4:4">
      <c r="D4439" s="1"/>
    </row>
    <row r="4440" spans="4:4">
      <c r="D4440" s="1"/>
    </row>
    <row r="4441" spans="4:4">
      <c r="D4441" s="1"/>
    </row>
    <row r="4442" spans="4:4">
      <c r="D4442" s="1"/>
    </row>
    <row r="4443" spans="4:4">
      <c r="D4443" s="1"/>
    </row>
    <row r="4444" spans="4:4">
      <c r="D4444" s="1"/>
    </row>
    <row r="4445" spans="4:4">
      <c r="D4445" s="1"/>
    </row>
    <row r="4446" spans="4:4">
      <c r="D4446" s="1"/>
    </row>
    <row r="4447" spans="4:4">
      <c r="D4447" s="1"/>
    </row>
    <row r="4448" spans="4:4">
      <c r="D4448" s="1"/>
    </row>
    <row r="4449" spans="4:4">
      <c r="D4449" s="1"/>
    </row>
    <row r="4450" spans="4:4">
      <c r="D4450" s="1"/>
    </row>
    <row r="4451" spans="4:4">
      <c r="D4451" s="1"/>
    </row>
    <row r="4452" spans="4:4">
      <c r="D4452" s="1"/>
    </row>
    <row r="4453" spans="4:4">
      <c r="D4453" s="1"/>
    </row>
    <row r="4454" spans="4:4">
      <c r="D4454" s="1"/>
    </row>
    <row r="4455" spans="4:4">
      <c r="D4455" s="1"/>
    </row>
    <row r="4456" spans="4:4">
      <c r="D4456" s="1"/>
    </row>
    <row r="4457" spans="4:4">
      <c r="D4457" s="1"/>
    </row>
    <row r="4458" spans="4:4">
      <c r="D4458" s="1"/>
    </row>
    <row r="4459" spans="4:4">
      <c r="D4459" s="1"/>
    </row>
    <row r="4460" spans="4:4">
      <c r="D4460" s="1"/>
    </row>
    <row r="4461" spans="4:4">
      <c r="D4461" s="1"/>
    </row>
    <row r="4462" spans="4:4">
      <c r="D4462" s="1"/>
    </row>
    <row r="4463" spans="4:4">
      <c r="D4463" s="1"/>
    </row>
    <row r="4464" spans="4:4">
      <c r="D4464" s="1"/>
    </row>
    <row r="4465" spans="4:4">
      <c r="D4465" s="1"/>
    </row>
    <row r="4466" spans="4:4">
      <c r="D4466" s="1"/>
    </row>
    <row r="4467" spans="4:4">
      <c r="D4467" s="1"/>
    </row>
    <row r="4468" spans="4:4">
      <c r="D4468" s="1"/>
    </row>
    <row r="4469" spans="4:4">
      <c r="D4469" s="1"/>
    </row>
    <row r="4470" spans="4:4">
      <c r="D4470" s="1"/>
    </row>
    <row r="4471" spans="4:4">
      <c r="D4471" s="1"/>
    </row>
    <row r="4472" spans="4:4">
      <c r="D4472" s="1"/>
    </row>
    <row r="4473" spans="4:4">
      <c r="D4473" s="1"/>
    </row>
    <row r="4474" spans="4:4">
      <c r="D4474" s="1"/>
    </row>
    <row r="4475" spans="4:4">
      <c r="D4475" s="1"/>
    </row>
    <row r="4476" spans="4:4">
      <c r="D4476" s="1"/>
    </row>
    <row r="4477" spans="4:4">
      <c r="D4477" s="1"/>
    </row>
    <row r="4478" spans="4:4">
      <c r="D4478" s="1"/>
    </row>
    <row r="4479" spans="4:4">
      <c r="D4479" s="1"/>
    </row>
    <row r="4480" spans="4:4">
      <c r="D4480" s="1"/>
    </row>
    <row r="4481" spans="4:4">
      <c r="D4481" s="1"/>
    </row>
    <row r="4482" spans="4:4">
      <c r="D4482" s="1"/>
    </row>
    <row r="4483" spans="4:4">
      <c r="D4483" s="1"/>
    </row>
    <row r="4484" spans="4:4">
      <c r="D4484" s="1"/>
    </row>
    <row r="4485" spans="4:4">
      <c r="D4485" s="1"/>
    </row>
    <row r="4486" spans="4:4">
      <c r="D4486" s="1"/>
    </row>
    <row r="4487" spans="4:4">
      <c r="D4487" s="1"/>
    </row>
    <row r="4488" spans="4:4">
      <c r="D4488" s="1"/>
    </row>
    <row r="4489" spans="4:4">
      <c r="D4489" s="1"/>
    </row>
    <row r="4490" spans="4:4">
      <c r="D4490" s="1"/>
    </row>
    <row r="4491" spans="4:4">
      <c r="D4491" s="1"/>
    </row>
    <row r="4492" spans="4:4">
      <c r="D4492" s="1"/>
    </row>
    <row r="4493" spans="4:4">
      <c r="D4493" s="1"/>
    </row>
    <row r="4494" spans="4:4">
      <c r="D4494" s="1"/>
    </row>
    <row r="4495" spans="4:4">
      <c r="D4495" s="1"/>
    </row>
    <row r="4496" spans="4:4">
      <c r="D4496" s="1"/>
    </row>
    <row r="4497" spans="4:4">
      <c r="D4497" s="1"/>
    </row>
    <row r="4498" spans="4:4">
      <c r="D4498" s="1"/>
    </row>
    <row r="4499" spans="4:4">
      <c r="D4499" s="1"/>
    </row>
    <row r="4500" spans="4:4">
      <c r="D4500" s="1"/>
    </row>
    <row r="4501" spans="4:4">
      <c r="D4501" s="1"/>
    </row>
    <row r="4502" spans="4:4">
      <c r="D4502" s="1"/>
    </row>
    <row r="4503" spans="4:4">
      <c r="D4503" s="1"/>
    </row>
    <row r="4504" spans="4:4">
      <c r="D4504" s="1"/>
    </row>
    <row r="4505" spans="4:4">
      <c r="D4505" s="1"/>
    </row>
    <row r="4506" spans="4:4">
      <c r="D4506" s="1"/>
    </row>
    <row r="4507" spans="4:4">
      <c r="D4507" s="1"/>
    </row>
    <row r="4508" spans="4:4">
      <c r="D4508" s="1"/>
    </row>
    <row r="4509" spans="4:4">
      <c r="D4509" s="1"/>
    </row>
    <row r="4510" spans="4:4">
      <c r="D4510" s="1"/>
    </row>
    <row r="4511" spans="4:4">
      <c r="D4511" s="1"/>
    </row>
    <row r="4512" spans="4:4">
      <c r="D4512" s="1"/>
    </row>
    <row r="4513" spans="4:4">
      <c r="D4513" s="1"/>
    </row>
    <row r="4514" spans="4:4">
      <c r="D4514" s="1"/>
    </row>
    <row r="4515" spans="4:4">
      <c r="D4515" s="1"/>
    </row>
    <row r="4516" spans="4:4">
      <c r="D4516" s="1"/>
    </row>
    <row r="4517" spans="4:4">
      <c r="D4517" s="1"/>
    </row>
    <row r="4518" spans="4:4">
      <c r="D4518" s="1"/>
    </row>
    <row r="4519" spans="4:4">
      <c r="D4519" s="1"/>
    </row>
    <row r="4520" spans="4:4">
      <c r="D4520" s="1"/>
    </row>
    <row r="4521" spans="4:4">
      <c r="D4521" s="1"/>
    </row>
    <row r="4522" spans="4:4">
      <c r="D4522" s="1"/>
    </row>
    <row r="4523" spans="4:4">
      <c r="D4523" s="1"/>
    </row>
    <row r="4524" spans="4:4">
      <c r="D4524" s="1"/>
    </row>
    <row r="4525" spans="4:4">
      <c r="D4525" s="1"/>
    </row>
    <row r="4526" spans="4:4">
      <c r="D4526" s="1"/>
    </row>
    <row r="4527" spans="4:4">
      <c r="D4527" s="1"/>
    </row>
    <row r="4528" spans="4:4">
      <c r="D4528" s="1"/>
    </row>
    <row r="4529" spans="4:4">
      <c r="D4529" s="1"/>
    </row>
    <row r="4530" spans="4:4">
      <c r="D4530" s="1"/>
    </row>
    <row r="4531" spans="4:4">
      <c r="D4531" s="1"/>
    </row>
    <row r="4532" spans="4:4">
      <c r="D4532" s="1"/>
    </row>
    <row r="4533" spans="4:4">
      <c r="D4533" s="1"/>
    </row>
    <row r="4534" spans="4:4">
      <c r="D4534" s="1"/>
    </row>
    <row r="4535" spans="4:4">
      <c r="D4535" s="1"/>
    </row>
    <row r="4536" spans="4:4">
      <c r="D4536" s="1"/>
    </row>
    <row r="4537" spans="4:4">
      <c r="D4537" s="1"/>
    </row>
    <row r="4538" spans="4:4">
      <c r="D4538" s="1"/>
    </row>
    <row r="4539" spans="4:4">
      <c r="D4539" s="1"/>
    </row>
    <row r="4540" spans="4:4">
      <c r="D4540" s="1"/>
    </row>
    <row r="4541" spans="4:4">
      <c r="D4541" s="1"/>
    </row>
    <row r="4542" spans="4:4">
      <c r="D4542" s="1"/>
    </row>
    <row r="4543" spans="4:4">
      <c r="D4543" s="1"/>
    </row>
    <row r="4544" spans="4:4">
      <c r="D4544" s="1"/>
    </row>
    <row r="4545" spans="4:4">
      <c r="D4545" s="1"/>
    </row>
    <row r="4546" spans="4:4">
      <c r="D4546" s="1"/>
    </row>
    <row r="4547" spans="4:4">
      <c r="D4547" s="1"/>
    </row>
    <row r="4548" spans="4:4">
      <c r="D4548" s="1"/>
    </row>
    <row r="4549" spans="4:4">
      <c r="D4549" s="1"/>
    </row>
    <row r="4550" spans="4:4">
      <c r="D4550" s="1"/>
    </row>
    <row r="4551" spans="4:4">
      <c r="D4551" s="1"/>
    </row>
    <row r="4552" spans="4:4">
      <c r="D4552" s="1"/>
    </row>
    <row r="4553" spans="4:4">
      <c r="D4553" s="1"/>
    </row>
    <row r="4554" spans="4:4">
      <c r="D4554" s="1"/>
    </row>
    <row r="4555" spans="4:4">
      <c r="D4555" s="1"/>
    </row>
    <row r="4556" spans="4:4">
      <c r="D4556" s="1"/>
    </row>
    <row r="4557" spans="4:4">
      <c r="D4557" s="1"/>
    </row>
    <row r="4558" spans="4:4">
      <c r="D4558" s="1"/>
    </row>
    <row r="4559" spans="4:4">
      <c r="D4559" s="1"/>
    </row>
    <row r="4560" spans="4:4">
      <c r="D4560" s="1"/>
    </row>
    <row r="4561" spans="4:4">
      <c r="D4561" s="1"/>
    </row>
    <row r="4562" spans="4:4">
      <c r="D4562" s="1"/>
    </row>
    <row r="4563" spans="4:4">
      <c r="D4563" s="1"/>
    </row>
    <row r="4564" spans="4:4">
      <c r="D4564" s="1"/>
    </row>
    <row r="4565" spans="4:4">
      <c r="D4565" s="1"/>
    </row>
    <row r="4566" spans="4:4">
      <c r="D4566" s="1"/>
    </row>
    <row r="4567" spans="4:4">
      <c r="D4567" s="1"/>
    </row>
    <row r="4568" spans="4:4">
      <c r="D4568" s="1"/>
    </row>
    <row r="4569" spans="4:4">
      <c r="D4569" s="1"/>
    </row>
    <row r="4570" spans="4:4">
      <c r="D4570" s="1"/>
    </row>
    <row r="4571" spans="4:4">
      <c r="D4571" s="1"/>
    </row>
    <row r="4572" spans="4:4">
      <c r="D4572" s="1"/>
    </row>
    <row r="4573" spans="4:4">
      <c r="D4573" s="1"/>
    </row>
    <row r="4574" spans="4:4">
      <c r="D4574" s="1"/>
    </row>
    <row r="4575" spans="4:4">
      <c r="D4575" s="1"/>
    </row>
    <row r="4576" spans="4:4">
      <c r="D4576" s="1"/>
    </row>
    <row r="4577" spans="4:4">
      <c r="D4577" s="1"/>
    </row>
    <row r="4578" spans="4:4">
      <c r="D4578" s="1"/>
    </row>
    <row r="4579" spans="4:4">
      <c r="D4579" s="1"/>
    </row>
    <row r="4580" spans="4:4">
      <c r="D4580" s="1"/>
    </row>
    <row r="4581" spans="4:4">
      <c r="D4581" s="1"/>
    </row>
    <row r="4582" spans="4:4">
      <c r="D4582" s="1"/>
    </row>
    <row r="4583" spans="4:4">
      <c r="D4583" s="1"/>
    </row>
    <row r="4584" spans="4:4">
      <c r="D4584" s="1"/>
    </row>
    <row r="4585" spans="4:4">
      <c r="D4585" s="1"/>
    </row>
    <row r="4586" spans="4:4">
      <c r="D4586" s="1"/>
    </row>
    <row r="4587" spans="4:4">
      <c r="D4587" s="1"/>
    </row>
    <row r="4588" spans="4:4">
      <c r="D4588" s="1"/>
    </row>
    <row r="4589" spans="4:4">
      <c r="D4589" s="1"/>
    </row>
    <row r="4590" spans="4:4">
      <c r="D4590" s="1"/>
    </row>
    <row r="4591" spans="4:4">
      <c r="D4591" s="1"/>
    </row>
    <row r="4592" spans="4:4">
      <c r="D4592" s="1"/>
    </row>
    <row r="4593" spans="4:4">
      <c r="D4593" s="1"/>
    </row>
    <row r="4594" spans="4:4">
      <c r="D4594" s="1"/>
    </row>
    <row r="4595" spans="4:4">
      <c r="D4595" s="1"/>
    </row>
    <row r="4596" spans="4:4">
      <c r="D4596" s="1"/>
    </row>
    <row r="4597" spans="4:4">
      <c r="D4597" s="1"/>
    </row>
    <row r="4598" spans="4:4">
      <c r="D4598" s="1"/>
    </row>
    <row r="4599" spans="4:4">
      <c r="D4599" s="1"/>
    </row>
    <row r="4600" spans="4:4">
      <c r="D4600" s="1"/>
    </row>
    <row r="4601" spans="4:4">
      <c r="D4601" s="1"/>
    </row>
    <row r="4602" spans="4:4">
      <c r="D4602" s="1"/>
    </row>
    <row r="4603" spans="4:4">
      <c r="D4603" s="1"/>
    </row>
    <row r="4604" spans="4:4">
      <c r="D4604" s="1"/>
    </row>
    <row r="4605" spans="4:4">
      <c r="D4605" s="1"/>
    </row>
    <row r="4606" spans="4:4">
      <c r="D4606" s="1"/>
    </row>
    <row r="4607" spans="4:4">
      <c r="D4607" s="1"/>
    </row>
    <row r="4608" spans="4:4">
      <c r="D4608" s="1"/>
    </row>
    <row r="4609" spans="4:4">
      <c r="D4609" s="1"/>
    </row>
    <row r="4610" spans="4:4">
      <c r="D4610" s="1"/>
    </row>
    <row r="4611" spans="4:4">
      <c r="D4611" s="1"/>
    </row>
    <row r="4612" spans="4:4">
      <c r="D4612" s="1"/>
    </row>
    <row r="4613" spans="4:4">
      <c r="D4613" s="1"/>
    </row>
    <row r="4614" spans="4:4">
      <c r="D4614" s="1"/>
    </row>
    <row r="4615" spans="4:4">
      <c r="D4615" s="1"/>
    </row>
    <row r="4616" spans="4:4">
      <c r="D4616" s="1"/>
    </row>
    <row r="4617" spans="4:4">
      <c r="D4617" s="1"/>
    </row>
    <row r="4618" spans="4:4">
      <c r="D4618" s="1"/>
    </row>
    <row r="4619" spans="4:4">
      <c r="D4619" s="1"/>
    </row>
    <row r="4620" spans="4:4">
      <c r="D4620" s="1"/>
    </row>
    <row r="4621" spans="4:4">
      <c r="D4621" s="1"/>
    </row>
    <row r="4622" spans="4:4">
      <c r="D4622" s="1"/>
    </row>
    <row r="4623" spans="4:4">
      <c r="D4623" s="1"/>
    </row>
    <row r="4624" spans="4:4">
      <c r="D4624" s="1"/>
    </row>
    <row r="4625" spans="4:4">
      <c r="D4625" s="1"/>
    </row>
    <row r="4626" spans="4:4">
      <c r="D4626" s="1"/>
    </row>
    <row r="4627" spans="4:4">
      <c r="D4627" s="1"/>
    </row>
    <row r="4628" spans="4:4">
      <c r="D4628" s="1"/>
    </row>
    <row r="4629" spans="4:4">
      <c r="D4629" s="1"/>
    </row>
    <row r="4630" spans="4:4">
      <c r="D4630" s="1"/>
    </row>
    <row r="4631" spans="4:4">
      <c r="D4631" s="1"/>
    </row>
    <row r="4632" spans="4:4">
      <c r="D4632" s="1"/>
    </row>
    <row r="4633" spans="4:4">
      <c r="D4633" s="1"/>
    </row>
    <row r="4634" spans="4:4">
      <c r="D4634" s="1"/>
    </row>
    <row r="4635" spans="4:4">
      <c r="D4635" s="1"/>
    </row>
    <row r="4636" spans="4:4">
      <c r="D4636" s="1"/>
    </row>
    <row r="4637" spans="4:4">
      <c r="D4637" s="1"/>
    </row>
    <row r="4638" spans="4:4">
      <c r="D4638" s="1"/>
    </row>
    <row r="4639" spans="4:4">
      <c r="D4639" s="1"/>
    </row>
    <row r="4640" spans="4:4">
      <c r="D4640" s="1"/>
    </row>
    <row r="4641" spans="4:4">
      <c r="D4641" s="1"/>
    </row>
    <row r="4642" spans="4:4">
      <c r="D4642" s="1"/>
    </row>
    <row r="4643" spans="4:4">
      <c r="D4643" s="1"/>
    </row>
    <row r="4644" spans="4:4">
      <c r="D4644" s="1"/>
    </row>
    <row r="4645" spans="4:4">
      <c r="D4645" s="1"/>
    </row>
    <row r="4646" spans="4:4">
      <c r="D4646" s="1"/>
    </row>
    <row r="4647" spans="4:4">
      <c r="D4647" s="1"/>
    </row>
    <row r="4648" spans="4:4">
      <c r="D4648" s="1"/>
    </row>
    <row r="4649" spans="4:4">
      <c r="D4649" s="1"/>
    </row>
    <row r="4650" spans="4:4">
      <c r="D4650" s="1"/>
    </row>
    <row r="4651" spans="4:4">
      <c r="D4651" s="1"/>
    </row>
    <row r="4652" spans="4:4">
      <c r="D4652" s="1"/>
    </row>
    <row r="4653" spans="4:4">
      <c r="D4653" s="1"/>
    </row>
    <row r="4654" spans="4:4">
      <c r="D4654" s="1"/>
    </row>
    <row r="4655" spans="4:4">
      <c r="D4655" s="1"/>
    </row>
    <row r="4656" spans="4:4">
      <c r="D4656" s="1"/>
    </row>
    <row r="4657" spans="4:4">
      <c r="D4657" s="1"/>
    </row>
    <row r="4658" spans="4:4">
      <c r="D4658" s="1"/>
    </row>
    <row r="4659" spans="4:4">
      <c r="D4659" s="1"/>
    </row>
    <row r="4660" spans="4:4">
      <c r="D4660" s="1"/>
    </row>
    <row r="4661" spans="4:4">
      <c r="D4661" s="1"/>
    </row>
    <row r="4662" spans="4:4">
      <c r="D4662" s="1"/>
    </row>
    <row r="4663" spans="4:4">
      <c r="D4663" s="1"/>
    </row>
    <row r="4664" spans="4:4">
      <c r="D4664" s="1"/>
    </row>
    <row r="4665" spans="4:4">
      <c r="D4665" s="1"/>
    </row>
    <row r="4666" spans="4:4">
      <c r="D4666" s="1"/>
    </row>
    <row r="4667" spans="4:4">
      <c r="D4667" s="1"/>
    </row>
    <row r="4668" spans="4:4">
      <c r="D4668" s="1"/>
    </row>
    <row r="4669" spans="4:4">
      <c r="D4669" s="1"/>
    </row>
    <row r="4670" spans="4:4">
      <c r="D4670" s="1"/>
    </row>
    <row r="4671" spans="4:4">
      <c r="D4671" s="1"/>
    </row>
    <row r="4672" spans="4:4">
      <c r="D4672" s="1"/>
    </row>
    <row r="4673" spans="4:4">
      <c r="D4673" s="1"/>
    </row>
    <row r="4674" spans="4:4">
      <c r="D4674" s="1"/>
    </row>
    <row r="4675" spans="4:4">
      <c r="D4675" s="1"/>
    </row>
    <row r="4676" spans="4:4">
      <c r="D4676" s="1"/>
    </row>
    <row r="4677" spans="4:4">
      <c r="D4677" s="1"/>
    </row>
    <row r="4678" spans="4:4">
      <c r="D4678" s="1"/>
    </row>
    <row r="4679" spans="4:4">
      <c r="D4679" s="1"/>
    </row>
    <row r="4680" spans="4:4">
      <c r="D4680" s="1"/>
    </row>
    <row r="4681" spans="4:4">
      <c r="D4681" s="1"/>
    </row>
    <row r="4682" spans="4:4">
      <c r="D4682" s="1"/>
    </row>
    <row r="4683" spans="4:4">
      <c r="D4683" s="1"/>
    </row>
    <row r="4684" spans="4:4">
      <c r="D4684" s="1"/>
    </row>
    <row r="4685" spans="4:4">
      <c r="D4685" s="1"/>
    </row>
    <row r="4686" spans="4:4">
      <c r="D4686" s="1"/>
    </row>
    <row r="4687" spans="4:4">
      <c r="D4687" s="1"/>
    </row>
    <row r="4688" spans="4:4">
      <c r="D4688" s="1"/>
    </row>
    <row r="4689" spans="4:4">
      <c r="D4689" s="1"/>
    </row>
    <row r="4690" spans="4:4">
      <c r="D4690" s="1"/>
    </row>
    <row r="4691" spans="4:4">
      <c r="D4691" s="1"/>
    </row>
    <row r="4692" spans="4:4">
      <c r="D4692" s="1"/>
    </row>
    <row r="4693" spans="4:4">
      <c r="D4693" s="1"/>
    </row>
    <row r="4694" spans="4:4">
      <c r="D4694" s="1"/>
    </row>
    <row r="4695" spans="4:4">
      <c r="D4695" s="1"/>
    </row>
    <row r="4696" spans="4:4">
      <c r="D4696" s="1"/>
    </row>
    <row r="4697" spans="4:4">
      <c r="D4697" s="1"/>
    </row>
    <row r="4698" spans="4:4">
      <c r="D4698" s="1"/>
    </row>
    <row r="4699" spans="4:4">
      <c r="D4699" s="1"/>
    </row>
    <row r="4700" spans="4:4">
      <c r="D4700" s="1"/>
    </row>
    <row r="4701" spans="4:4">
      <c r="D4701" s="1"/>
    </row>
    <row r="4702" spans="4:4">
      <c r="D4702" s="1"/>
    </row>
    <row r="4703" spans="4:4">
      <c r="D4703" s="1"/>
    </row>
    <row r="4704" spans="4:4">
      <c r="D4704" s="1"/>
    </row>
    <row r="4705" spans="4:4">
      <c r="D4705" s="1"/>
    </row>
    <row r="4706" spans="4:4">
      <c r="D4706" s="1"/>
    </row>
    <row r="4707" spans="4:4">
      <c r="D4707" s="1"/>
    </row>
    <row r="4708" spans="4:4">
      <c r="D4708" s="1"/>
    </row>
    <row r="4709" spans="4:4">
      <c r="D4709" s="1"/>
    </row>
    <row r="4710" spans="4:4">
      <c r="D4710" s="1"/>
    </row>
    <row r="4711" spans="4:4">
      <c r="D4711" s="1"/>
    </row>
    <row r="4712" spans="4:4">
      <c r="D4712" s="1"/>
    </row>
    <row r="4713" spans="4:4">
      <c r="D4713" s="1"/>
    </row>
    <row r="4714" spans="4:4">
      <c r="D4714" s="1"/>
    </row>
    <row r="4715" spans="4:4">
      <c r="D4715" s="1"/>
    </row>
    <row r="4716" spans="4:4">
      <c r="D4716" s="1"/>
    </row>
    <row r="4717" spans="4:4">
      <c r="D4717" s="1"/>
    </row>
    <row r="4718" spans="4:4">
      <c r="D4718" s="1"/>
    </row>
    <row r="4719" spans="4:4">
      <c r="D4719" s="1"/>
    </row>
    <row r="4720" spans="4:4">
      <c r="D4720" s="1"/>
    </row>
    <row r="4721" spans="4:4">
      <c r="D4721" s="1"/>
    </row>
    <row r="4722" spans="4:4">
      <c r="D4722" s="1"/>
    </row>
    <row r="4723" spans="4:4">
      <c r="D4723" s="1"/>
    </row>
    <row r="4724" spans="4:4">
      <c r="D4724" s="1"/>
    </row>
    <row r="4725" spans="4:4">
      <c r="D4725" s="1"/>
    </row>
    <row r="4726" spans="4:4">
      <c r="D4726" s="1"/>
    </row>
    <row r="4727" spans="4:4">
      <c r="D4727" s="1"/>
    </row>
    <row r="4728" spans="4:4">
      <c r="D4728" s="1"/>
    </row>
    <row r="4729" spans="4:4">
      <c r="D4729" s="1"/>
    </row>
    <row r="4730" spans="4:4">
      <c r="D4730" s="1"/>
    </row>
    <row r="4731" spans="4:4">
      <c r="D4731" s="1"/>
    </row>
    <row r="4732" spans="4:4">
      <c r="D4732" s="1"/>
    </row>
    <row r="4733" spans="4:4">
      <c r="D4733" s="1"/>
    </row>
    <row r="4734" spans="4:4">
      <c r="D4734" s="1"/>
    </row>
    <row r="4735" spans="4:4">
      <c r="D4735" s="1"/>
    </row>
    <row r="4736" spans="4:4">
      <c r="D4736" s="1"/>
    </row>
    <row r="4737" spans="4:4">
      <c r="D4737" s="1"/>
    </row>
    <row r="4738" spans="4:4">
      <c r="D4738" s="1"/>
    </row>
    <row r="4739" spans="4:4">
      <c r="D4739" s="1"/>
    </row>
    <row r="4740" spans="4:4">
      <c r="D4740" s="1"/>
    </row>
    <row r="4741" spans="4:4">
      <c r="D4741" s="1"/>
    </row>
    <row r="4742" spans="4:4">
      <c r="D4742" s="1"/>
    </row>
    <row r="4743" spans="4:4">
      <c r="D4743" s="1"/>
    </row>
    <row r="4744" spans="4:4">
      <c r="D4744" s="1"/>
    </row>
    <row r="4745" spans="4:4">
      <c r="D4745" s="1"/>
    </row>
    <row r="4746" spans="4:4">
      <c r="D4746" s="1"/>
    </row>
    <row r="4747" spans="4:4">
      <c r="D4747" s="1"/>
    </row>
    <row r="4748" spans="4:4">
      <c r="D4748" s="1"/>
    </row>
    <row r="4749" spans="4:4">
      <c r="D4749" s="1"/>
    </row>
    <row r="4750" spans="4:4">
      <c r="D4750" s="1"/>
    </row>
    <row r="4751" spans="4:4">
      <c r="D4751" s="1"/>
    </row>
    <row r="4752" spans="4:4">
      <c r="D4752" s="1"/>
    </row>
    <row r="4753" spans="4:4">
      <c r="D4753" s="1"/>
    </row>
    <row r="4754" spans="4:4">
      <c r="D4754" s="1"/>
    </row>
    <row r="4755" spans="4:4">
      <c r="D4755" s="1"/>
    </row>
    <row r="4756" spans="4:4">
      <c r="D4756" s="1"/>
    </row>
    <row r="4757" spans="4:4">
      <c r="D4757" s="1"/>
    </row>
    <row r="4758" spans="4:4">
      <c r="D4758" s="1"/>
    </row>
    <row r="4759" spans="4:4">
      <c r="D4759" s="1"/>
    </row>
    <row r="4760" spans="4:4">
      <c r="D4760" s="1"/>
    </row>
    <row r="4761" spans="4:4">
      <c r="D4761" s="1"/>
    </row>
    <row r="4762" spans="4:4">
      <c r="D4762" s="1"/>
    </row>
    <row r="4763" spans="4:4">
      <c r="D4763" s="1"/>
    </row>
    <row r="4764" spans="4:4">
      <c r="D4764" s="1"/>
    </row>
    <row r="4765" spans="4:4">
      <c r="D4765" s="1"/>
    </row>
    <row r="4766" spans="4:4">
      <c r="D4766" s="1"/>
    </row>
    <row r="4767" spans="4:4">
      <c r="D4767" s="1"/>
    </row>
    <row r="4768" spans="4:4">
      <c r="D4768" s="1"/>
    </row>
    <row r="4769" spans="4:4">
      <c r="D4769" s="1"/>
    </row>
    <row r="4770" spans="4:4">
      <c r="D4770" s="1"/>
    </row>
    <row r="4771" spans="4:4">
      <c r="D4771" s="1"/>
    </row>
    <row r="4772" spans="4:4">
      <c r="D4772" s="1"/>
    </row>
    <row r="4773" spans="4:4">
      <c r="D4773" s="1"/>
    </row>
    <row r="4774" spans="4:4">
      <c r="D4774" s="1"/>
    </row>
    <row r="4775" spans="4:4">
      <c r="D4775" s="1"/>
    </row>
    <row r="4776" spans="4:4">
      <c r="D4776" s="1"/>
    </row>
    <row r="4777" spans="4:4">
      <c r="D4777" s="1"/>
    </row>
    <row r="4778" spans="4:4">
      <c r="D4778" s="1"/>
    </row>
    <row r="4779" spans="4:4">
      <c r="D4779" s="1"/>
    </row>
    <row r="4780" spans="4:4">
      <c r="D4780" s="1"/>
    </row>
    <row r="4781" spans="4:4">
      <c r="D4781" s="1"/>
    </row>
    <row r="4782" spans="4:4">
      <c r="D4782" s="1"/>
    </row>
    <row r="4783" spans="4:4">
      <c r="D4783" s="1"/>
    </row>
    <row r="4784" spans="4:4">
      <c r="D4784" s="1"/>
    </row>
    <row r="4785" spans="4:4">
      <c r="D4785" s="1"/>
    </row>
    <row r="4786" spans="4:4">
      <c r="D4786" s="1"/>
    </row>
    <row r="4787" spans="4:4">
      <c r="D4787" s="1"/>
    </row>
    <row r="4788" spans="4:4">
      <c r="D4788" s="1"/>
    </row>
    <row r="4789" spans="4:4">
      <c r="D4789" s="1"/>
    </row>
    <row r="4790" spans="4:4">
      <c r="D4790" s="1"/>
    </row>
    <row r="4791" spans="4:4">
      <c r="D4791" s="1"/>
    </row>
    <row r="4792" spans="4:4">
      <c r="D4792" s="1"/>
    </row>
    <row r="4793" spans="4:4">
      <c r="D4793" s="1"/>
    </row>
    <row r="4794" spans="4:4">
      <c r="D4794" s="1"/>
    </row>
    <row r="4795" spans="4:4">
      <c r="D4795" s="1"/>
    </row>
    <row r="4796" spans="4:4">
      <c r="D4796" s="1"/>
    </row>
    <row r="4797" spans="4:4">
      <c r="D4797" s="1"/>
    </row>
    <row r="4798" spans="4:4">
      <c r="D4798" s="1"/>
    </row>
    <row r="4799" spans="4:4">
      <c r="D4799" s="1"/>
    </row>
    <row r="4800" spans="4:4">
      <c r="D4800" s="1"/>
    </row>
    <row r="4801" spans="4:4">
      <c r="D4801" s="1"/>
    </row>
    <row r="4802" spans="4:4">
      <c r="D4802" s="1"/>
    </row>
    <row r="4803" spans="4:4">
      <c r="D4803" s="1"/>
    </row>
    <row r="4804" spans="4:4">
      <c r="D4804" s="1"/>
    </row>
    <row r="4805" spans="4:4">
      <c r="D4805" s="1"/>
    </row>
    <row r="4806" spans="4:4">
      <c r="D4806" s="1"/>
    </row>
    <row r="4807" spans="4:4">
      <c r="D4807" s="1"/>
    </row>
    <row r="4808" spans="4:4">
      <c r="D4808" s="1"/>
    </row>
    <row r="4809" spans="4:4">
      <c r="D4809" s="1"/>
    </row>
    <row r="4810" spans="4:4">
      <c r="D4810" s="1"/>
    </row>
    <row r="4811" spans="4:4">
      <c r="D4811" s="1"/>
    </row>
    <row r="4812" spans="4:4">
      <c r="D4812" s="1"/>
    </row>
    <row r="4813" spans="4:4">
      <c r="D4813" s="1"/>
    </row>
    <row r="4814" spans="4:4">
      <c r="D4814" s="1"/>
    </row>
    <row r="4815" spans="4:4">
      <c r="D4815" s="1"/>
    </row>
    <row r="4816" spans="4:4">
      <c r="D4816" s="1"/>
    </row>
    <row r="4817" spans="4:4">
      <c r="D4817" s="1"/>
    </row>
    <row r="4818" spans="4:4">
      <c r="D4818" s="1"/>
    </row>
    <row r="4819" spans="4:4">
      <c r="D4819" s="1"/>
    </row>
    <row r="4820" spans="4:4">
      <c r="D4820" s="1"/>
    </row>
    <row r="4821" spans="4:4">
      <c r="D4821" s="1"/>
    </row>
    <row r="4822" spans="4:4">
      <c r="D4822" s="1"/>
    </row>
    <row r="4823" spans="4:4">
      <c r="D4823" s="1"/>
    </row>
    <row r="4824" spans="4:4">
      <c r="D4824" s="1"/>
    </row>
    <row r="4825" spans="4:4">
      <c r="D4825" s="1"/>
    </row>
    <row r="4826" spans="4:4">
      <c r="D4826" s="1"/>
    </row>
    <row r="4827" spans="4:4">
      <c r="D4827" s="1"/>
    </row>
    <row r="4828" spans="4:4">
      <c r="D4828" s="1"/>
    </row>
    <row r="4829" spans="4:4">
      <c r="D4829" s="1"/>
    </row>
    <row r="4830" spans="4:4">
      <c r="D4830" s="1"/>
    </row>
    <row r="4831" spans="4:4">
      <c r="D4831" s="1"/>
    </row>
    <row r="4832" spans="4:4">
      <c r="D4832" s="1"/>
    </row>
    <row r="4833" spans="4:4">
      <c r="D4833" s="1"/>
    </row>
    <row r="4834" spans="4:4">
      <c r="D4834" s="1"/>
    </row>
    <row r="4835" spans="4:4">
      <c r="D4835" s="1"/>
    </row>
    <row r="4836" spans="4:4">
      <c r="D4836" s="1"/>
    </row>
    <row r="4837" spans="4:4">
      <c r="D4837" s="1"/>
    </row>
    <row r="4838" spans="4:4">
      <c r="D4838" s="1"/>
    </row>
    <row r="4839" spans="4:4">
      <c r="D4839" s="1"/>
    </row>
    <row r="4840" spans="4:4">
      <c r="D4840" s="1"/>
    </row>
    <row r="4841" spans="4:4">
      <c r="D4841" s="1"/>
    </row>
    <row r="4842" spans="4:4">
      <c r="D4842" s="1"/>
    </row>
    <row r="4843" spans="4:4">
      <c r="D4843" s="1"/>
    </row>
    <row r="4844" spans="4:4">
      <c r="D4844" s="1"/>
    </row>
    <row r="4845" spans="4:4">
      <c r="D4845" s="1"/>
    </row>
    <row r="4846" spans="4:4">
      <c r="D4846" s="1"/>
    </row>
    <row r="4847" spans="4:4">
      <c r="D4847" s="1"/>
    </row>
    <row r="4848" spans="4:4">
      <c r="D4848" s="1"/>
    </row>
    <row r="4849" spans="4:4">
      <c r="D4849" s="1"/>
    </row>
    <row r="4850" spans="4:4">
      <c r="D4850" s="1"/>
    </row>
    <row r="4851" spans="4:4">
      <c r="D4851" s="1"/>
    </row>
    <row r="4852" spans="4:4">
      <c r="D4852" s="1"/>
    </row>
    <row r="4853" spans="4:4">
      <c r="D4853" s="1"/>
    </row>
    <row r="4854" spans="4:4">
      <c r="D4854" s="1"/>
    </row>
    <row r="4855" spans="4:4">
      <c r="D4855" s="1"/>
    </row>
    <row r="4856" spans="4:4">
      <c r="D4856" s="1"/>
    </row>
    <row r="4857" spans="4:4">
      <c r="D4857" s="1"/>
    </row>
    <row r="4858" spans="4:4">
      <c r="D4858" s="1"/>
    </row>
    <row r="4859" spans="4:4">
      <c r="D4859" s="1"/>
    </row>
    <row r="4860" spans="4:4">
      <c r="D4860" s="1"/>
    </row>
    <row r="4861" spans="4:4">
      <c r="D4861" s="1"/>
    </row>
    <row r="4862" spans="4:4">
      <c r="D4862" s="1"/>
    </row>
    <row r="4863" spans="4:4">
      <c r="D4863" s="1"/>
    </row>
    <row r="4864" spans="4:4">
      <c r="D4864" s="1"/>
    </row>
    <row r="4865" spans="4:4">
      <c r="D4865" s="1"/>
    </row>
    <row r="4866" spans="4:4">
      <c r="D4866" s="1"/>
    </row>
    <row r="4867" spans="4:4">
      <c r="D4867" s="1"/>
    </row>
    <row r="4868" spans="4:4">
      <c r="D4868" s="1"/>
    </row>
    <row r="4869" spans="4:4">
      <c r="D4869" s="1"/>
    </row>
    <row r="4870" spans="4:4">
      <c r="D4870" s="1"/>
    </row>
    <row r="4871" spans="4:4">
      <c r="D4871" s="1"/>
    </row>
    <row r="4872" spans="4:4">
      <c r="D4872" s="1"/>
    </row>
    <row r="4873" spans="4:4">
      <c r="D4873" s="1"/>
    </row>
    <row r="4874" spans="4:4">
      <c r="D4874" s="1"/>
    </row>
    <row r="4875" spans="4:4">
      <c r="D4875" s="1"/>
    </row>
    <row r="4876" spans="4:4">
      <c r="D4876" s="1"/>
    </row>
    <row r="4877" spans="4:4">
      <c r="D4877" s="1"/>
    </row>
    <row r="4878" spans="4:4">
      <c r="D4878" s="1"/>
    </row>
    <row r="4879" spans="4:4">
      <c r="D4879" s="1"/>
    </row>
    <row r="4880" spans="4:4">
      <c r="D4880" s="1"/>
    </row>
    <row r="4881" spans="4:4">
      <c r="D4881" s="1"/>
    </row>
    <row r="4882" spans="4:4">
      <c r="D4882" s="1"/>
    </row>
    <row r="4883" spans="4:4">
      <c r="D4883" s="1"/>
    </row>
    <row r="4884" spans="4:4">
      <c r="D4884" s="1"/>
    </row>
    <row r="4885" spans="4:4">
      <c r="D4885" s="1"/>
    </row>
    <row r="4886" spans="4:4">
      <c r="D4886" s="1"/>
    </row>
    <row r="4887" spans="4:4">
      <c r="D4887" s="1"/>
    </row>
    <row r="4888" spans="4:4">
      <c r="D4888" s="1"/>
    </row>
    <row r="4889" spans="4:4">
      <c r="D4889" s="1"/>
    </row>
    <row r="4890" spans="4:4">
      <c r="D4890" s="1"/>
    </row>
    <row r="4891" spans="4:4">
      <c r="D4891" s="1"/>
    </row>
    <row r="4892" spans="4:4">
      <c r="D4892" s="1"/>
    </row>
    <row r="4893" spans="4:4">
      <c r="D4893" s="1"/>
    </row>
    <row r="4894" spans="4:4">
      <c r="D4894" s="1"/>
    </row>
    <row r="4895" spans="4:4">
      <c r="D4895" s="1"/>
    </row>
    <row r="4896" spans="4:4">
      <c r="D4896" s="1"/>
    </row>
    <row r="4897" spans="4:4">
      <c r="D4897" s="1"/>
    </row>
    <row r="4898" spans="4:4">
      <c r="D4898" s="1"/>
    </row>
    <row r="4899" spans="4:4">
      <c r="D4899" s="1"/>
    </row>
    <row r="4900" spans="4:4">
      <c r="D4900" s="1"/>
    </row>
    <row r="4901" spans="4:4">
      <c r="D4901" s="1"/>
    </row>
    <row r="4902" spans="4:4">
      <c r="D4902" s="1"/>
    </row>
    <row r="4903" spans="4:4">
      <c r="D4903" s="1"/>
    </row>
    <row r="4904" spans="4:4">
      <c r="D4904" s="1"/>
    </row>
    <row r="4905" spans="4:4">
      <c r="D4905" s="1"/>
    </row>
    <row r="4906" spans="4:4">
      <c r="D4906" s="1"/>
    </row>
    <row r="4907" spans="4:4">
      <c r="D4907" s="1"/>
    </row>
    <row r="4908" spans="4:4">
      <c r="D4908" s="1"/>
    </row>
    <row r="4909" spans="4:4">
      <c r="D4909" s="1"/>
    </row>
    <row r="4910" spans="4:4">
      <c r="D4910" s="1"/>
    </row>
    <row r="4911" spans="4:4">
      <c r="D4911" s="1"/>
    </row>
    <row r="4912" spans="4:4">
      <c r="D4912" s="1"/>
    </row>
    <row r="4913" spans="4:4">
      <c r="D4913" s="1"/>
    </row>
    <row r="4914" spans="4:4">
      <c r="D4914" s="1"/>
    </row>
    <row r="4915" spans="4:4">
      <c r="D4915" s="1"/>
    </row>
    <row r="4916" spans="4:4">
      <c r="D4916" s="1"/>
    </row>
    <row r="4917" spans="4:4">
      <c r="D4917" s="1"/>
    </row>
    <row r="4918" spans="4:4">
      <c r="D4918" s="1"/>
    </row>
    <row r="4919" spans="4:4">
      <c r="D4919" s="1"/>
    </row>
    <row r="4920" spans="4:4">
      <c r="D4920" s="1"/>
    </row>
    <row r="4921" spans="4:4">
      <c r="D4921" s="1"/>
    </row>
    <row r="4922" spans="4:4">
      <c r="D4922" s="1"/>
    </row>
    <row r="4923" spans="4:4">
      <c r="D4923" s="1"/>
    </row>
    <row r="4924" spans="4:4">
      <c r="D4924" s="1"/>
    </row>
    <row r="4925" spans="4:4">
      <c r="D4925" s="1"/>
    </row>
    <row r="4926" spans="4:4">
      <c r="D4926" s="1"/>
    </row>
    <row r="4927" spans="4:4">
      <c r="D4927" s="1"/>
    </row>
    <row r="4928" spans="4:4">
      <c r="D4928" s="1"/>
    </row>
    <row r="4929" spans="4:4">
      <c r="D4929" s="1"/>
    </row>
    <row r="4930" spans="4:4">
      <c r="D4930" s="1"/>
    </row>
    <row r="4931" spans="4:4">
      <c r="D4931" s="1"/>
    </row>
    <row r="4932" spans="4:4">
      <c r="D4932" s="1"/>
    </row>
    <row r="4933" spans="4:4">
      <c r="D4933" s="1"/>
    </row>
    <row r="4934" spans="4:4">
      <c r="D4934" s="1"/>
    </row>
    <row r="4935" spans="4:4">
      <c r="D4935" s="1"/>
    </row>
    <row r="4936" spans="4:4">
      <c r="D4936" s="1"/>
    </row>
    <row r="4937" spans="4:4">
      <c r="D4937" s="1"/>
    </row>
    <row r="4938" spans="4:4">
      <c r="D4938" s="1"/>
    </row>
    <row r="4939" spans="4:4">
      <c r="D4939" s="1"/>
    </row>
    <row r="4940" spans="4:4">
      <c r="D4940" s="1"/>
    </row>
    <row r="4941" spans="4:4">
      <c r="D4941" s="1"/>
    </row>
    <row r="4942" spans="4:4">
      <c r="D4942" s="1"/>
    </row>
    <row r="4943" spans="4:4">
      <c r="D4943" s="1"/>
    </row>
    <row r="4944" spans="4:4">
      <c r="D4944" s="1"/>
    </row>
    <row r="4945" spans="4:4">
      <c r="D4945" s="1"/>
    </row>
    <row r="4946" spans="4:4">
      <c r="D4946" s="1"/>
    </row>
    <row r="4947" spans="4:4">
      <c r="D4947" s="1"/>
    </row>
    <row r="4948" spans="4:4">
      <c r="D4948" s="1"/>
    </row>
    <row r="4949" spans="4:4">
      <c r="D4949" s="1"/>
    </row>
    <row r="4950" spans="4:4">
      <c r="D4950" s="1"/>
    </row>
    <row r="4951" spans="4:4">
      <c r="D4951" s="1"/>
    </row>
    <row r="4952" spans="4:4">
      <c r="D4952" s="1"/>
    </row>
    <row r="4953" spans="4:4">
      <c r="D4953" s="1"/>
    </row>
    <row r="4954" spans="4:4">
      <c r="D4954" s="1"/>
    </row>
    <row r="4955" spans="4:4">
      <c r="D4955" s="1"/>
    </row>
    <row r="4956" spans="4:4">
      <c r="D4956" s="1"/>
    </row>
    <row r="4957" spans="4:4">
      <c r="D4957" s="1"/>
    </row>
    <row r="4958" spans="4:4">
      <c r="D4958" s="1"/>
    </row>
    <row r="4959" spans="4:4">
      <c r="D4959" s="1"/>
    </row>
    <row r="4960" spans="4:4">
      <c r="D4960" s="1"/>
    </row>
    <row r="4961" spans="4:4">
      <c r="D4961" s="1"/>
    </row>
    <row r="4962" spans="4:4">
      <c r="D4962" s="1"/>
    </row>
    <row r="4963" spans="4:4">
      <c r="D4963" s="1"/>
    </row>
    <row r="4964" spans="4:4">
      <c r="D4964" s="1"/>
    </row>
    <row r="4965" spans="4:4">
      <c r="D4965" s="1"/>
    </row>
    <row r="4966" spans="4:4">
      <c r="D4966" s="1"/>
    </row>
    <row r="4967" spans="4:4">
      <c r="D4967" s="1"/>
    </row>
    <row r="4968" spans="4:4">
      <c r="D4968" s="1"/>
    </row>
    <row r="4969" spans="4:4">
      <c r="D4969" s="1"/>
    </row>
    <row r="4970" spans="4:4">
      <c r="D4970" s="1"/>
    </row>
    <row r="4971" spans="4:4">
      <c r="D4971" s="1"/>
    </row>
    <row r="4972" spans="4:4">
      <c r="D4972" s="1"/>
    </row>
    <row r="4973" spans="4:4">
      <c r="D4973" s="1"/>
    </row>
    <row r="4974" spans="4:4">
      <c r="D4974" s="1"/>
    </row>
    <row r="4975" spans="4:4">
      <c r="D4975" s="1"/>
    </row>
    <row r="4976" spans="4:4">
      <c r="D4976" s="1"/>
    </row>
    <row r="4977" spans="4:4">
      <c r="D4977" s="1"/>
    </row>
    <row r="4978" spans="4:4">
      <c r="D4978" s="1"/>
    </row>
    <row r="4979" spans="4:4">
      <c r="D4979" s="1"/>
    </row>
    <row r="4980" spans="4:4">
      <c r="D4980" s="1"/>
    </row>
    <row r="4981" spans="4:4">
      <c r="D4981" s="1"/>
    </row>
    <row r="4982" spans="4:4">
      <c r="D4982" s="1"/>
    </row>
    <row r="4983" spans="4:4">
      <c r="D4983" s="1"/>
    </row>
    <row r="4984" spans="4:4">
      <c r="D4984" s="1"/>
    </row>
    <row r="4985" spans="4:4">
      <c r="D4985" s="1"/>
    </row>
    <row r="4986" spans="4:4">
      <c r="D4986" s="1"/>
    </row>
    <row r="4987" spans="4:4">
      <c r="D4987" s="1"/>
    </row>
    <row r="4988" spans="4:4">
      <c r="D4988" s="1"/>
    </row>
    <row r="4989" spans="4:4">
      <c r="D4989" s="1"/>
    </row>
    <row r="4990" spans="4:4">
      <c r="D4990" s="1"/>
    </row>
    <row r="4991" spans="4:4">
      <c r="D4991" s="1"/>
    </row>
    <row r="4992" spans="4:4">
      <c r="D4992" s="1"/>
    </row>
    <row r="4993" spans="4:4">
      <c r="D4993" s="1"/>
    </row>
    <row r="4994" spans="4:4">
      <c r="D4994" s="1"/>
    </row>
    <row r="4995" spans="4:4">
      <c r="D4995" s="1"/>
    </row>
    <row r="4996" spans="4:4">
      <c r="D4996" s="1"/>
    </row>
    <row r="4997" spans="4:4">
      <c r="D4997" s="1"/>
    </row>
    <row r="4998" spans="4:4">
      <c r="D4998" s="1"/>
    </row>
    <row r="4999" spans="4:4">
      <c r="D4999" s="1"/>
    </row>
    <row r="5000" spans="4:4">
      <c r="D5000" s="1"/>
    </row>
    <row r="5001" spans="4:4">
      <c r="D5001" s="1"/>
    </row>
    <row r="5002" spans="4:4">
      <c r="D5002" s="1"/>
    </row>
    <row r="5003" spans="4:4">
      <c r="D5003" s="1"/>
    </row>
    <row r="5004" spans="4:4">
      <c r="D5004" s="1"/>
    </row>
    <row r="5005" spans="4:4">
      <c r="D5005" s="1"/>
    </row>
    <row r="5006" spans="4:4">
      <c r="D5006" s="1"/>
    </row>
    <row r="5007" spans="4:4">
      <c r="D5007" s="1"/>
    </row>
    <row r="5008" spans="4:4">
      <c r="D5008" s="1"/>
    </row>
    <row r="5009" spans="4:4">
      <c r="D5009" s="1"/>
    </row>
    <row r="5010" spans="4:4">
      <c r="D5010" s="1"/>
    </row>
    <row r="5011" spans="4:4">
      <c r="D5011" s="1"/>
    </row>
    <row r="5012" spans="4:4">
      <c r="D5012" s="1"/>
    </row>
    <row r="5013" spans="4:4">
      <c r="D5013" s="1"/>
    </row>
    <row r="5014" spans="4:4">
      <c r="D5014" s="1"/>
    </row>
    <row r="5015" spans="4:4">
      <c r="D5015" s="1"/>
    </row>
    <row r="5016" spans="4:4">
      <c r="D5016" s="1"/>
    </row>
    <row r="5017" spans="4:4">
      <c r="D5017" s="1"/>
    </row>
    <row r="5018" spans="4:4">
      <c r="D5018" s="1"/>
    </row>
    <row r="5019" spans="4:4">
      <c r="D5019" s="1"/>
    </row>
    <row r="5020" spans="4:4">
      <c r="D5020" s="1"/>
    </row>
    <row r="5021" spans="4:4">
      <c r="D5021" s="1"/>
    </row>
    <row r="5022" spans="4:4">
      <c r="D5022" s="1"/>
    </row>
    <row r="5023" spans="4:4">
      <c r="D5023" s="1"/>
    </row>
    <row r="5024" spans="4:4">
      <c r="D5024" s="1"/>
    </row>
    <row r="5025" spans="4:4">
      <c r="D5025" s="1"/>
    </row>
    <row r="5026" spans="4:4">
      <c r="D5026" s="1"/>
    </row>
    <row r="5027" spans="4:4">
      <c r="D5027" s="1"/>
    </row>
    <row r="5028" spans="4:4">
      <c r="D5028" s="1"/>
    </row>
    <row r="5029" spans="4:4">
      <c r="D5029" s="1"/>
    </row>
    <row r="5030" spans="4:4">
      <c r="D5030" s="1"/>
    </row>
    <row r="5031" spans="4:4">
      <c r="D5031" s="1"/>
    </row>
    <row r="5032" spans="4:4">
      <c r="D5032" s="1"/>
    </row>
    <row r="5033" spans="4:4">
      <c r="D5033" s="1"/>
    </row>
    <row r="5034" spans="4:4">
      <c r="D5034" s="1"/>
    </row>
    <row r="5035" spans="4:4">
      <c r="D5035" s="1"/>
    </row>
    <row r="5036" spans="4:4">
      <c r="D5036" s="1"/>
    </row>
    <row r="5037" spans="4:4">
      <c r="D5037" s="1"/>
    </row>
    <row r="5038" spans="4:4">
      <c r="D5038" s="1"/>
    </row>
    <row r="5039" spans="4:4">
      <c r="D5039" s="1"/>
    </row>
    <row r="5040" spans="4:4">
      <c r="D5040" s="1"/>
    </row>
    <row r="5041" spans="4:4">
      <c r="D5041" s="1"/>
    </row>
    <row r="5042" spans="4:4">
      <c r="D5042" s="1"/>
    </row>
    <row r="5043" spans="4:4">
      <c r="D5043" s="1"/>
    </row>
    <row r="5044" spans="4:4">
      <c r="D5044" s="1"/>
    </row>
    <row r="5045" spans="4:4">
      <c r="D5045" s="1"/>
    </row>
    <row r="5046" spans="4:4">
      <c r="D5046" s="1"/>
    </row>
    <row r="5047" spans="4:4">
      <c r="D5047" s="1"/>
    </row>
    <row r="5048" spans="4:4">
      <c r="D5048" s="1"/>
    </row>
    <row r="5049" spans="4:4">
      <c r="D5049" s="1"/>
    </row>
    <row r="5050" spans="4:4">
      <c r="D5050" s="1"/>
    </row>
    <row r="5051" spans="4:4">
      <c r="D5051" s="1"/>
    </row>
    <row r="5052" spans="4:4">
      <c r="D5052" s="1"/>
    </row>
    <row r="5053" spans="4:4">
      <c r="D5053" s="1"/>
    </row>
    <row r="5054" spans="4:4">
      <c r="D5054" s="1"/>
    </row>
    <row r="5055" spans="4:4">
      <c r="D5055" s="1"/>
    </row>
    <row r="5056" spans="4:4">
      <c r="D5056" s="1"/>
    </row>
    <row r="5057" spans="4:4">
      <c r="D5057" s="1"/>
    </row>
    <row r="5058" spans="4:4">
      <c r="D5058" s="1"/>
    </row>
    <row r="5059" spans="4:4">
      <c r="D5059" s="1"/>
    </row>
    <row r="5060" spans="4:4">
      <c r="D5060" s="1"/>
    </row>
    <row r="5061" spans="4:4">
      <c r="D5061" s="1"/>
    </row>
    <row r="5062" spans="4:4">
      <c r="D5062" s="1"/>
    </row>
    <row r="5063" spans="4:4">
      <c r="D5063" s="1"/>
    </row>
    <row r="5064" spans="4:4">
      <c r="D5064" s="1"/>
    </row>
    <row r="5065" spans="4:4">
      <c r="D5065" s="1"/>
    </row>
    <row r="5066" spans="4:4">
      <c r="D5066" s="1"/>
    </row>
    <row r="5067" spans="4:4">
      <c r="D5067" s="1"/>
    </row>
    <row r="5068" spans="4:4">
      <c r="D5068" s="1"/>
    </row>
    <row r="5069" spans="4:4">
      <c r="D5069" s="1"/>
    </row>
    <row r="5070" spans="4:4">
      <c r="D5070" s="1"/>
    </row>
    <row r="5071" spans="4:4">
      <c r="D5071" s="1"/>
    </row>
    <row r="5072" spans="4:4">
      <c r="D5072" s="1"/>
    </row>
    <row r="5073" spans="4:4">
      <c r="D5073" s="1"/>
    </row>
    <row r="5074" spans="4:4">
      <c r="D5074" s="1"/>
    </row>
    <row r="5075" spans="4:4">
      <c r="D5075" s="1"/>
    </row>
    <row r="5076" spans="4:4">
      <c r="D5076" s="1"/>
    </row>
    <row r="5077" spans="4:4">
      <c r="D5077" s="1"/>
    </row>
    <row r="5078" spans="4:4">
      <c r="D5078" s="1"/>
    </row>
    <row r="5079" spans="4:4">
      <c r="D5079" s="1"/>
    </row>
    <row r="5080" spans="4:4">
      <c r="D5080" s="1"/>
    </row>
    <row r="5081" spans="4:4">
      <c r="D5081" s="1"/>
    </row>
    <row r="5082" spans="4:4">
      <c r="D5082" s="1"/>
    </row>
    <row r="5083" spans="4:4">
      <c r="D5083" s="1"/>
    </row>
    <row r="5084" spans="4:4">
      <c r="D5084" s="1"/>
    </row>
    <row r="5085" spans="4:4">
      <c r="D5085" s="1"/>
    </row>
    <row r="5086" spans="4:4">
      <c r="D5086" s="1"/>
    </row>
    <row r="5087" spans="4:4">
      <c r="D5087" s="1"/>
    </row>
    <row r="5088" spans="4:4">
      <c r="D5088" s="1"/>
    </row>
    <row r="5089" spans="4:4">
      <c r="D5089" s="1"/>
    </row>
    <row r="5090" spans="4:4">
      <c r="D5090" s="1"/>
    </row>
    <row r="5091" spans="4:4">
      <c r="D5091" s="1"/>
    </row>
    <row r="5092" spans="4:4">
      <c r="D5092" s="1"/>
    </row>
    <row r="5093" spans="4:4">
      <c r="D5093" s="1"/>
    </row>
    <row r="5094" spans="4:4">
      <c r="D5094" s="1"/>
    </row>
  </sheetData>
  <customSheetViews>
    <customSheetView guid="{32169818-EA48-4D2C-804F-10AFEFD0B9B2}" showGridLines="0">
      <selection activeCell="D1" sqref="D1"/>
      <pageMargins left="0.75" right="0.75" top="1" bottom="1" header="0.5" footer="0.5"/>
      <pageSetup orientation="portrait" horizontalDpi="4294967292" verticalDpi="300" r:id="rId1"/>
      <headerFooter alignWithMargins="0"/>
    </customSheetView>
  </customSheetViews>
  <phoneticPr fontId="0" type="noConversion"/>
  <pageMargins left="0.75" right="0.75" top="1" bottom="1" header="0.5" footer="0.5"/>
  <pageSetup orientation="portrait" horizontalDpi="4294967292" verticalDpi="300" r:id="rId2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ECAEF-6D7C-43BE-B4F7-E0DCC1ED0050}">
  <dimension ref="A1:J34"/>
  <sheetViews>
    <sheetView showGridLines="0" workbookViewId="0">
      <selection activeCell="G12" sqref="G12"/>
    </sheetView>
  </sheetViews>
  <sheetFormatPr defaultRowHeight="15"/>
  <cols>
    <col min="4" max="4" width="12.5703125" customWidth="1"/>
    <col min="6" max="6" width="12.28515625" customWidth="1"/>
    <col min="7" max="7" width="12.5703125" customWidth="1"/>
  </cols>
  <sheetData>
    <row r="1" spans="1:10" ht="20.25" thickBot="1">
      <c r="A1" s="216" t="s">
        <v>517</v>
      </c>
      <c r="B1" s="216"/>
      <c r="C1" s="216"/>
      <c r="D1" s="216"/>
      <c r="E1" s="216"/>
      <c r="F1" s="216"/>
      <c r="G1" s="216"/>
      <c r="H1" s="217"/>
      <c r="I1" s="217"/>
      <c r="J1" s="218"/>
    </row>
    <row r="2" spans="1:10" ht="15.75" thickTop="1">
      <c r="A2" s="219" t="s">
        <v>518</v>
      </c>
      <c r="B2" s="219"/>
      <c r="C2" s="219"/>
      <c r="D2" s="219"/>
      <c r="E2" s="219"/>
      <c r="F2" s="219"/>
      <c r="G2" s="219"/>
      <c r="H2" s="219"/>
      <c r="I2" s="219"/>
      <c r="J2" s="219"/>
    </row>
    <row r="3" spans="1:10">
      <c r="A3" s="219"/>
      <c r="B3" s="219"/>
      <c r="C3" s="219"/>
      <c r="D3" s="219"/>
      <c r="E3" s="219"/>
      <c r="F3" s="219"/>
      <c r="G3" s="219"/>
      <c r="H3" s="219"/>
      <c r="I3" s="219"/>
      <c r="J3" s="219"/>
    </row>
    <row r="4" spans="1:10">
      <c r="A4" s="220" t="s">
        <v>519</v>
      </c>
      <c r="B4" s="219"/>
      <c r="C4" s="219"/>
      <c r="D4" s="219"/>
      <c r="E4" s="219"/>
      <c r="F4" s="219"/>
      <c r="G4" s="219"/>
      <c r="H4" s="219"/>
      <c r="I4" s="219"/>
      <c r="J4" s="219"/>
    </row>
    <row r="5" spans="1:10">
      <c r="A5" s="219"/>
      <c r="B5" s="219"/>
      <c r="C5" s="219"/>
      <c r="D5" s="219"/>
      <c r="E5" s="219"/>
      <c r="F5" s="219"/>
      <c r="G5" s="219"/>
      <c r="H5" s="219"/>
      <c r="I5" s="219"/>
      <c r="J5" s="219"/>
    </row>
    <row r="6" spans="1:10">
      <c r="A6" s="221" t="s">
        <v>520</v>
      </c>
      <c r="B6" s="219" t="s">
        <v>521</v>
      </c>
      <c r="C6" s="219"/>
      <c r="D6" s="219"/>
      <c r="E6" s="219"/>
      <c r="F6" s="219"/>
      <c r="G6" s="219"/>
      <c r="H6" s="219"/>
      <c r="I6" s="219"/>
      <c r="J6" s="219"/>
    </row>
    <row r="7" spans="1:10">
      <c r="A7" s="222" t="s">
        <v>522</v>
      </c>
      <c r="B7" s="219" t="s">
        <v>523</v>
      </c>
      <c r="C7" s="219"/>
      <c r="D7" s="219"/>
      <c r="E7" s="219"/>
      <c r="F7" s="219"/>
      <c r="G7" s="219"/>
      <c r="H7" s="219"/>
      <c r="I7" s="219"/>
      <c r="J7" s="219"/>
    </row>
    <row r="8" spans="1:10">
      <c r="A8" s="223" t="s">
        <v>524</v>
      </c>
      <c r="B8" s="224" t="s">
        <v>525</v>
      </c>
      <c r="C8" s="219" t="s">
        <v>526</v>
      </c>
      <c r="D8" s="219"/>
      <c r="E8" s="219"/>
      <c r="F8" s="219"/>
      <c r="G8" s="219"/>
      <c r="H8" s="219"/>
      <c r="I8" s="219"/>
      <c r="J8" s="219"/>
    </row>
    <row r="9" spans="1:10">
      <c r="A9" s="219"/>
      <c r="B9" s="224" t="s">
        <v>527</v>
      </c>
      <c r="C9" s="219" t="s">
        <v>528</v>
      </c>
      <c r="D9" s="219"/>
      <c r="E9" s="219"/>
      <c r="F9" s="219"/>
      <c r="G9" s="219"/>
      <c r="H9" s="219"/>
      <c r="I9" s="219"/>
      <c r="J9" s="219"/>
    </row>
    <row r="10" spans="1:10">
      <c r="A10" s="219"/>
      <c r="B10" s="224" t="s">
        <v>529</v>
      </c>
      <c r="C10" s="219" t="s">
        <v>530</v>
      </c>
      <c r="D10" s="219"/>
      <c r="E10" s="219"/>
      <c r="F10" s="219"/>
      <c r="G10" s="219"/>
      <c r="H10" s="219"/>
      <c r="I10" s="219"/>
      <c r="J10" s="219"/>
    </row>
    <row r="11" spans="1:10">
      <c r="A11" s="219"/>
      <c r="B11" s="219"/>
      <c r="C11" s="219"/>
      <c r="D11" s="219"/>
      <c r="E11" s="219"/>
      <c r="F11" s="219"/>
      <c r="G11" s="219"/>
      <c r="H11" s="219"/>
      <c r="I11" s="219"/>
      <c r="J11" s="219"/>
    </row>
    <row r="12" spans="1:10">
      <c r="A12" s="225" t="s">
        <v>531</v>
      </c>
      <c r="B12" s="219" t="s">
        <v>532</v>
      </c>
      <c r="C12" s="219"/>
      <c r="D12" s="219"/>
      <c r="E12" s="219"/>
      <c r="F12" s="219"/>
      <c r="G12" s="219"/>
      <c r="H12" s="219"/>
      <c r="I12" s="219"/>
      <c r="J12" s="219"/>
    </row>
    <row r="13" spans="1:10">
      <c r="A13" s="224" t="s">
        <v>533</v>
      </c>
      <c r="B13" s="219" t="s">
        <v>534</v>
      </c>
      <c r="C13" s="219"/>
      <c r="D13" s="219"/>
      <c r="E13" s="219"/>
      <c r="F13" s="219"/>
      <c r="G13" s="219"/>
      <c r="H13" s="219"/>
      <c r="I13" s="219"/>
      <c r="J13" s="219"/>
    </row>
    <row r="14" spans="1:10">
      <c r="A14" s="224" t="s">
        <v>535</v>
      </c>
      <c r="B14" s="219" t="s">
        <v>536</v>
      </c>
      <c r="C14" s="219"/>
      <c r="D14" s="219"/>
      <c r="E14" s="219"/>
      <c r="F14" s="219"/>
      <c r="G14" s="219"/>
      <c r="H14" s="219"/>
      <c r="I14" s="219"/>
      <c r="J14" s="219"/>
    </row>
    <row r="15" spans="1:10">
      <c r="A15" s="224" t="s">
        <v>537</v>
      </c>
      <c r="B15" s="219" t="s">
        <v>538</v>
      </c>
      <c r="C15" s="219"/>
      <c r="D15" s="219"/>
      <c r="E15" s="219"/>
      <c r="F15" s="219"/>
      <c r="G15" s="219"/>
      <c r="H15" s="219"/>
      <c r="I15" s="219"/>
      <c r="J15" s="219"/>
    </row>
    <row r="16" spans="1:10">
      <c r="A16" s="219"/>
      <c r="B16" s="219"/>
      <c r="C16" s="219"/>
      <c r="D16" s="219"/>
      <c r="E16" s="219"/>
      <c r="F16" s="219"/>
      <c r="G16" s="219"/>
      <c r="H16" s="219"/>
      <c r="I16" s="219"/>
      <c r="J16" s="219"/>
    </row>
    <row r="17" spans="1:10">
      <c r="A17" s="219"/>
      <c r="B17" s="224" t="s">
        <v>539</v>
      </c>
      <c r="C17" s="226"/>
      <c r="D17" s="219"/>
      <c r="E17" s="219"/>
      <c r="F17" s="219"/>
      <c r="G17" s="219"/>
      <c r="H17" s="219"/>
      <c r="I17" s="219"/>
      <c r="J17" s="219"/>
    </row>
    <row r="18" spans="1:10">
      <c r="A18" s="219"/>
      <c r="B18" s="227"/>
      <c r="C18" s="228"/>
      <c r="D18" s="219"/>
      <c r="E18" s="219"/>
      <c r="F18" s="219"/>
      <c r="G18" s="219"/>
      <c r="H18" s="219"/>
      <c r="I18" s="219"/>
      <c r="J18" s="219"/>
    </row>
    <row r="19" spans="1:10">
      <c r="A19" s="219"/>
      <c r="B19" s="227" t="s">
        <v>540</v>
      </c>
      <c r="C19" s="227" t="s">
        <v>541</v>
      </c>
      <c r="D19" s="227" t="s">
        <v>542</v>
      </c>
      <c r="E19" s="227" t="s">
        <v>543</v>
      </c>
      <c r="F19" s="227" t="s">
        <v>539</v>
      </c>
      <c r="G19" s="227" t="s">
        <v>544</v>
      </c>
      <c r="H19" s="219"/>
      <c r="I19" s="219"/>
      <c r="J19" s="219"/>
    </row>
    <row r="20" spans="1:10">
      <c r="A20" s="219"/>
      <c r="B20" s="219"/>
      <c r="C20" s="219"/>
      <c r="D20" s="219"/>
      <c r="E20" s="219"/>
      <c r="F20" s="219"/>
      <c r="G20" s="219"/>
      <c r="H20" s="219"/>
      <c r="I20" s="219"/>
      <c r="J20" s="219"/>
    </row>
    <row r="21" spans="1:10">
      <c r="A21" s="225" t="s">
        <v>545</v>
      </c>
      <c r="B21" s="219" t="s">
        <v>546</v>
      </c>
      <c r="C21" s="219"/>
      <c r="D21" s="219"/>
      <c r="E21" s="219"/>
      <c r="F21" s="219"/>
      <c r="G21" s="219"/>
      <c r="H21" s="219"/>
      <c r="I21" s="219"/>
      <c r="J21" s="219"/>
    </row>
    <row r="22" spans="1:10">
      <c r="A22" s="225"/>
      <c r="B22" s="219"/>
      <c r="C22" s="219"/>
      <c r="D22" s="219"/>
      <c r="E22" s="219"/>
      <c r="F22" s="219"/>
      <c r="G22" s="219"/>
      <c r="H22" s="219"/>
      <c r="I22" s="219"/>
      <c r="J22" s="219"/>
    </row>
    <row r="23" spans="1:10">
      <c r="A23" s="219"/>
      <c r="B23" s="224" t="s">
        <v>547</v>
      </c>
      <c r="C23" s="229"/>
      <c r="D23" s="219"/>
      <c r="E23" s="219"/>
      <c r="F23" s="219"/>
      <c r="G23" s="219"/>
      <c r="H23" s="219"/>
      <c r="I23" s="219"/>
      <c r="J23" s="219"/>
    </row>
    <row r="24" spans="1:10">
      <c r="A24" s="219"/>
      <c r="B24" s="219"/>
      <c r="C24" s="219"/>
      <c r="D24" s="219"/>
      <c r="E24" s="219"/>
      <c r="F24" s="219"/>
      <c r="G24" s="219"/>
      <c r="H24" s="219"/>
      <c r="I24" s="219"/>
      <c r="J24" s="219"/>
    </row>
    <row r="25" spans="1:10">
      <c r="A25" s="219"/>
      <c r="B25" s="224" t="s">
        <v>548</v>
      </c>
      <c r="C25" s="219"/>
      <c r="D25" s="219"/>
      <c r="E25" s="219"/>
      <c r="F25" s="219"/>
      <c r="G25" s="219"/>
      <c r="H25" s="219"/>
      <c r="I25" s="219"/>
      <c r="J25" s="219"/>
    </row>
    <row r="26" spans="1:10">
      <c r="A26" s="219"/>
      <c r="B26" s="224" t="s">
        <v>549</v>
      </c>
      <c r="C26" s="219"/>
      <c r="D26" s="219"/>
      <c r="E26" s="219"/>
      <c r="F26" s="219"/>
      <c r="G26" s="219"/>
      <c r="H26" s="219"/>
      <c r="I26" s="219"/>
      <c r="J26" s="219"/>
    </row>
    <row r="27" spans="1:10">
      <c r="A27" s="219"/>
      <c r="B27" s="224" t="s">
        <v>550</v>
      </c>
      <c r="C27" s="219"/>
      <c r="D27" s="219"/>
      <c r="E27" s="219"/>
      <c r="F27" s="219"/>
      <c r="G27" s="219"/>
      <c r="H27" s="219"/>
      <c r="I27" s="219"/>
      <c r="J27" s="219"/>
    </row>
    <row r="28" spans="1:10">
      <c r="A28" s="219"/>
      <c r="B28" s="224" t="s">
        <v>551</v>
      </c>
      <c r="C28" s="219"/>
      <c r="D28" s="219"/>
      <c r="E28" s="219"/>
      <c r="F28" s="219"/>
      <c r="G28" s="219"/>
      <c r="H28" s="219"/>
      <c r="I28" s="219"/>
      <c r="J28" s="219"/>
    </row>
    <row r="29" spans="1:10">
      <c r="A29" s="219"/>
      <c r="B29" s="224" t="s">
        <v>552</v>
      </c>
      <c r="C29" s="219"/>
      <c r="D29" s="219"/>
      <c r="E29" s="219"/>
      <c r="F29" s="219"/>
      <c r="G29" s="219"/>
      <c r="H29" s="219"/>
      <c r="I29" s="219"/>
      <c r="J29" s="219"/>
    </row>
    <row r="30" spans="1:10">
      <c r="A30" s="219"/>
      <c r="B30" s="224" t="s">
        <v>553</v>
      </c>
      <c r="C30" s="219"/>
      <c r="D30" s="219"/>
      <c r="E30" s="219"/>
      <c r="F30" s="219"/>
      <c r="G30" s="219"/>
      <c r="H30" s="219"/>
      <c r="I30" s="219"/>
      <c r="J30" s="219"/>
    </row>
    <row r="31" spans="1:10">
      <c r="A31" s="219"/>
      <c r="B31" s="224" t="s">
        <v>547</v>
      </c>
      <c r="C31" s="219"/>
      <c r="D31" s="219"/>
      <c r="E31" s="219"/>
      <c r="F31" s="219"/>
      <c r="G31" s="219"/>
      <c r="H31" s="219"/>
      <c r="I31" s="219"/>
      <c r="J31" s="219"/>
    </row>
    <row r="32" spans="1:10">
      <c r="A32" s="219"/>
      <c r="B32" s="224" t="s">
        <v>554</v>
      </c>
      <c r="C32" s="219"/>
      <c r="D32" s="219"/>
      <c r="E32" s="219"/>
      <c r="F32" s="219"/>
      <c r="G32" s="219"/>
      <c r="H32" s="219"/>
      <c r="I32" s="219"/>
      <c r="J32" s="219"/>
    </row>
    <row r="33" spans="1:10">
      <c r="A33" s="219"/>
      <c r="B33" s="224" t="s">
        <v>555</v>
      </c>
      <c r="C33" s="219"/>
      <c r="D33" s="219"/>
      <c r="E33" s="219"/>
      <c r="F33" s="219"/>
      <c r="G33" s="219"/>
      <c r="H33" s="219"/>
      <c r="I33" s="219"/>
      <c r="J33" s="219"/>
    </row>
    <row r="34" spans="1:10">
      <c r="A34" s="219"/>
      <c r="B34" s="224" t="s">
        <v>556</v>
      </c>
      <c r="C34" s="219"/>
      <c r="D34" s="219"/>
      <c r="E34" s="219"/>
      <c r="F34" s="219"/>
      <c r="G34" s="219"/>
      <c r="H34" s="219"/>
      <c r="I34" s="219"/>
      <c r="J34" s="219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E21"/>
  <sheetViews>
    <sheetView zoomScale="120" zoomScaleNormal="120" workbookViewId="0">
      <selection activeCell="C2" sqref="C2"/>
    </sheetView>
  </sheetViews>
  <sheetFormatPr defaultColWidth="9.28515625" defaultRowHeight="15"/>
  <cols>
    <col min="1" max="2" width="9.28515625" style="178"/>
    <col min="3" max="3" width="16.85546875" style="178" customWidth="1"/>
    <col min="4" max="4" width="44.7109375" style="178" bestFit="1" customWidth="1"/>
    <col min="5" max="5" width="50.7109375" style="178" bestFit="1" customWidth="1"/>
    <col min="6" max="16384" width="9.28515625" style="178"/>
  </cols>
  <sheetData>
    <row r="1" spans="2:5">
      <c r="B1" s="180" t="s">
        <v>399</v>
      </c>
      <c r="C1" s="180" t="s">
        <v>369</v>
      </c>
      <c r="D1" s="181" t="s">
        <v>370</v>
      </c>
      <c r="E1" s="189" t="s">
        <v>400</v>
      </c>
    </row>
    <row r="2" spans="2:5" ht="23.25">
      <c r="B2" s="186" t="s">
        <v>398</v>
      </c>
      <c r="C2" s="210"/>
      <c r="D2" s="210"/>
      <c r="E2" s="210"/>
    </row>
    <row r="3" spans="2:5" ht="23.25">
      <c r="B3" s="186" t="s">
        <v>401</v>
      </c>
      <c r="C3" s="210"/>
      <c r="D3" s="210"/>
      <c r="E3" s="210"/>
    </row>
    <row r="4" spans="2:5" ht="23.25">
      <c r="B4" s="186" t="s">
        <v>402</v>
      </c>
      <c r="C4" s="210"/>
      <c r="D4" s="210"/>
      <c r="E4" s="210"/>
    </row>
    <row r="5" spans="2:5" ht="23.25">
      <c r="B5" s="186" t="s">
        <v>403</v>
      </c>
      <c r="C5" s="210"/>
      <c r="D5" s="210"/>
      <c r="E5" s="210"/>
    </row>
    <row r="6" spans="2:5" ht="23.25">
      <c r="B6" s="186" t="s">
        <v>404</v>
      </c>
      <c r="C6" s="210"/>
      <c r="D6" s="210"/>
      <c r="E6" s="210"/>
    </row>
    <row r="7" spans="2:5" ht="23.25">
      <c r="B7" s="186" t="s">
        <v>405</v>
      </c>
      <c r="C7" s="210"/>
      <c r="D7" s="210"/>
      <c r="E7" s="210"/>
    </row>
    <row r="8" spans="2:5" ht="23.25">
      <c r="B8" s="185" t="s">
        <v>406</v>
      </c>
      <c r="C8" s="210"/>
      <c r="D8" s="210"/>
      <c r="E8" s="210"/>
    </row>
    <row r="9" spans="2:5" ht="23.25">
      <c r="B9" s="185" t="s">
        <v>407</v>
      </c>
      <c r="C9" s="210"/>
      <c r="D9" s="210"/>
      <c r="E9" s="210"/>
    </row>
    <row r="12" spans="2:5">
      <c r="C12" s="178" t="s">
        <v>514</v>
      </c>
    </row>
    <row r="18" spans="4:5">
      <c r="D18" s="215"/>
    </row>
    <row r="21" spans="4:5">
      <c r="E21" s="215"/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A129"/>
  <sheetViews>
    <sheetView workbookViewId="0">
      <selection activeCell="E9" sqref="E9"/>
    </sheetView>
  </sheetViews>
  <sheetFormatPr defaultColWidth="9.28515625" defaultRowHeight="15"/>
  <cols>
    <col min="1" max="4" width="9.28515625" style="178"/>
    <col min="5" max="5" width="32.42578125" style="178" bestFit="1" customWidth="1"/>
    <col min="6" max="6" width="33.28515625" style="178" bestFit="1" customWidth="1"/>
    <col min="7" max="16384" width="9.28515625" style="178"/>
  </cols>
  <sheetData>
    <row r="1" spans="2:53" s="177" customFormat="1" ht="15.75" thickBot="1"/>
    <row r="2" spans="2:53" s="177" customFormat="1" ht="24.75">
      <c r="B2" s="179" t="s">
        <v>368</v>
      </c>
      <c r="C2" s="180" t="s">
        <v>399</v>
      </c>
      <c r="D2" s="180" t="s">
        <v>369</v>
      </c>
      <c r="E2" s="181" t="s">
        <v>370</v>
      </c>
      <c r="F2" s="189" t="s">
        <v>400</v>
      </c>
      <c r="W2" s="177" t="s">
        <v>399</v>
      </c>
      <c r="X2" s="177" t="s">
        <v>369</v>
      </c>
      <c r="Y2" s="177" t="s">
        <v>408</v>
      </c>
      <c r="AL2" s="182" t="s">
        <v>371</v>
      </c>
      <c r="AM2" s="182" t="s">
        <v>372</v>
      </c>
      <c r="AN2" s="182" t="s">
        <v>373</v>
      </c>
      <c r="AO2" s="182" t="s">
        <v>374</v>
      </c>
      <c r="AP2" s="182" t="s">
        <v>375</v>
      </c>
      <c r="AQ2" s="182" t="s">
        <v>376</v>
      </c>
      <c r="AR2" s="182" t="s">
        <v>377</v>
      </c>
      <c r="AS2" s="182" t="s">
        <v>378</v>
      </c>
      <c r="AT2" s="182" t="s">
        <v>379</v>
      </c>
      <c r="AU2" s="182" t="s">
        <v>380</v>
      </c>
      <c r="AV2" s="182" t="s">
        <v>381</v>
      </c>
      <c r="AW2" s="182" t="s">
        <v>382</v>
      </c>
      <c r="AX2" s="182" t="s">
        <v>383</v>
      </c>
      <c r="AY2" s="182" t="s">
        <v>384</v>
      </c>
      <c r="AZ2" s="183" t="s">
        <v>385</v>
      </c>
      <c r="BA2" s="184" t="s">
        <v>409</v>
      </c>
    </row>
    <row r="3" spans="2:53" s="177" customFormat="1">
      <c r="B3" s="185">
        <v>1</v>
      </c>
      <c r="C3" s="186" t="s">
        <v>398</v>
      </c>
      <c r="D3" s="187" t="s">
        <v>386</v>
      </c>
      <c r="E3" s="188" t="s">
        <v>387</v>
      </c>
      <c r="F3" s="190" t="s">
        <v>410</v>
      </c>
      <c r="W3" s="177" t="s">
        <v>404</v>
      </c>
      <c r="Y3" s="191"/>
      <c r="AC3" s="1"/>
      <c r="AD3" s="1" t="s">
        <v>398</v>
      </c>
      <c r="AE3" s="1"/>
      <c r="AF3" s="1"/>
      <c r="AL3" s="186">
        <v>235</v>
      </c>
      <c r="AM3" s="186">
        <v>543</v>
      </c>
      <c r="AN3" s="186">
        <v>333</v>
      </c>
      <c r="AO3" s="186">
        <v>434</v>
      </c>
      <c r="AP3" s="186">
        <v>340</v>
      </c>
      <c r="AQ3" s="186">
        <v>600</v>
      </c>
      <c r="AR3" s="186">
        <v>46</v>
      </c>
      <c r="AS3" s="186">
        <v>567</v>
      </c>
      <c r="AT3" s="186"/>
      <c r="AU3" s="186"/>
      <c r="AV3" s="185"/>
      <c r="AW3" s="185"/>
      <c r="AX3" s="185"/>
      <c r="AY3" s="185"/>
      <c r="AZ3" s="185"/>
      <c r="BA3" s="185"/>
    </row>
    <row r="4" spans="2:53" s="177" customFormat="1">
      <c r="B4" s="185">
        <v>2</v>
      </c>
      <c r="C4" s="186" t="s">
        <v>411</v>
      </c>
      <c r="D4" s="187" t="s">
        <v>386</v>
      </c>
      <c r="E4" s="188" t="s">
        <v>388</v>
      </c>
      <c r="F4" s="190" t="s">
        <v>412</v>
      </c>
      <c r="AC4" s="1"/>
      <c r="AD4" s="1" t="s">
        <v>411</v>
      </c>
      <c r="AE4" s="1"/>
      <c r="AL4" s="186">
        <v>554</v>
      </c>
      <c r="AM4" s="186">
        <v>21</v>
      </c>
      <c r="AN4" s="186">
        <v>243</v>
      </c>
      <c r="AO4" s="186">
        <v>243</v>
      </c>
      <c r="AP4" s="186">
        <v>300</v>
      </c>
      <c r="AQ4" s="186">
        <v>600</v>
      </c>
      <c r="AR4" s="186">
        <v>345</v>
      </c>
      <c r="AS4" s="186">
        <v>234</v>
      </c>
      <c r="AT4" s="186">
        <v>300</v>
      </c>
      <c r="AU4" s="186"/>
      <c r="AV4" s="185"/>
      <c r="AW4" s="185"/>
      <c r="AX4" s="185"/>
      <c r="AY4" s="185"/>
      <c r="AZ4" s="185"/>
      <c r="BA4" s="185"/>
    </row>
    <row r="5" spans="2:53" s="177" customFormat="1">
      <c r="B5" s="185">
        <v>3</v>
      </c>
      <c r="C5" s="186" t="s">
        <v>413</v>
      </c>
      <c r="D5" s="187" t="s">
        <v>386</v>
      </c>
      <c r="E5" s="188" t="s">
        <v>390</v>
      </c>
      <c r="F5" s="190" t="s">
        <v>414</v>
      </c>
      <c r="AC5" s="1"/>
      <c r="AD5" s="1" t="s">
        <v>415</v>
      </c>
      <c r="AE5" s="1"/>
      <c r="AL5" s="186">
        <v>236</v>
      </c>
      <c r="AM5" s="186">
        <v>30</v>
      </c>
      <c r="AN5" s="186">
        <v>243</v>
      </c>
      <c r="AO5" s="186">
        <v>243</v>
      </c>
      <c r="AP5" s="186">
        <v>45</v>
      </c>
      <c r="AQ5" s="186">
        <v>2400</v>
      </c>
      <c r="AR5" s="186">
        <v>67</v>
      </c>
      <c r="AS5" s="186">
        <v>98</v>
      </c>
      <c r="AT5" s="186">
        <v>100</v>
      </c>
      <c r="AU5" s="186"/>
      <c r="AV5" s="185"/>
      <c r="AW5" s="185"/>
      <c r="AX5" s="185"/>
      <c r="AY5" s="185"/>
      <c r="AZ5" s="185"/>
      <c r="BA5" s="185"/>
    </row>
    <row r="6" spans="2:53" s="177" customFormat="1">
      <c r="B6" s="185">
        <v>4</v>
      </c>
      <c r="C6" s="186" t="s">
        <v>416</v>
      </c>
      <c r="D6" s="187" t="s">
        <v>386</v>
      </c>
      <c r="E6" s="188" t="s">
        <v>391</v>
      </c>
      <c r="F6" s="190" t="s">
        <v>417</v>
      </c>
      <c r="AC6" s="1"/>
      <c r="AD6" s="1" t="s">
        <v>406</v>
      </c>
      <c r="AE6" s="1"/>
      <c r="AL6" s="186">
        <v>71</v>
      </c>
      <c r="AM6" s="186">
        <v>20</v>
      </c>
      <c r="AN6" s="186">
        <v>9</v>
      </c>
      <c r="AO6" s="186">
        <v>0</v>
      </c>
      <c r="AP6" s="186">
        <v>400</v>
      </c>
      <c r="AQ6" s="186">
        <v>990</v>
      </c>
      <c r="AR6" s="186">
        <v>30</v>
      </c>
      <c r="AS6" s="186">
        <v>179</v>
      </c>
      <c r="AT6" s="186">
        <v>300</v>
      </c>
      <c r="AU6" s="186">
        <v>34</v>
      </c>
      <c r="AV6" s="185"/>
      <c r="AW6" s="185"/>
      <c r="AX6" s="185"/>
      <c r="AY6" s="185"/>
      <c r="AZ6" s="185"/>
      <c r="BA6" s="185"/>
    </row>
    <row r="7" spans="2:53" s="177" customFormat="1">
      <c r="B7" s="185">
        <v>5</v>
      </c>
      <c r="C7" s="186" t="s">
        <v>401</v>
      </c>
      <c r="D7" s="187" t="s">
        <v>386</v>
      </c>
      <c r="E7" s="188" t="s">
        <v>392</v>
      </c>
      <c r="F7" s="190" t="s">
        <v>418</v>
      </c>
      <c r="AC7" s="1"/>
      <c r="AD7" s="1" t="s">
        <v>402</v>
      </c>
      <c r="AE7" s="1"/>
      <c r="AL7" s="186">
        <v>100</v>
      </c>
      <c r="AM7" s="186">
        <v>30</v>
      </c>
      <c r="AN7" s="186">
        <v>223</v>
      </c>
      <c r="AO7" s="186">
        <v>53</v>
      </c>
      <c r="AP7" s="186">
        <v>540</v>
      </c>
      <c r="AQ7" s="186">
        <v>1200</v>
      </c>
      <c r="AR7" s="186">
        <v>36</v>
      </c>
      <c r="AS7" s="186">
        <v>120</v>
      </c>
      <c r="AT7" s="186">
        <v>358</v>
      </c>
      <c r="AU7" s="186">
        <v>34</v>
      </c>
      <c r="AV7" s="185"/>
      <c r="AW7" s="185">
        <v>13.6</v>
      </c>
      <c r="AX7" s="185"/>
      <c r="AY7" s="185">
        <v>15</v>
      </c>
      <c r="AZ7" s="185"/>
      <c r="BA7" s="185"/>
    </row>
    <row r="8" spans="2:53" s="177" customFormat="1">
      <c r="B8" s="185">
        <v>6</v>
      </c>
      <c r="C8" s="186" t="s">
        <v>419</v>
      </c>
      <c r="D8" s="187" t="s">
        <v>386</v>
      </c>
      <c r="E8" s="188" t="s">
        <v>393</v>
      </c>
      <c r="F8" s="190" t="s">
        <v>420</v>
      </c>
      <c r="AC8" s="1"/>
      <c r="AD8" s="1" t="s">
        <v>421</v>
      </c>
      <c r="AE8" s="1"/>
      <c r="AL8" s="186">
        <v>35</v>
      </c>
      <c r="AM8" s="186">
        <v>67</v>
      </c>
      <c r="AN8" s="186">
        <v>89</v>
      </c>
      <c r="AO8" s="186">
        <v>345</v>
      </c>
      <c r="AP8" s="186">
        <v>65</v>
      </c>
      <c r="AQ8" s="186">
        <v>777</v>
      </c>
      <c r="AR8" s="186">
        <v>234</v>
      </c>
      <c r="AS8" s="186">
        <v>654</v>
      </c>
      <c r="AT8" s="186">
        <v>665</v>
      </c>
      <c r="AU8" s="186">
        <v>0</v>
      </c>
      <c r="AV8" s="185">
        <v>0</v>
      </c>
      <c r="AW8" s="185">
        <v>0</v>
      </c>
      <c r="AX8" s="185">
        <v>0</v>
      </c>
      <c r="AY8" s="185">
        <v>0</v>
      </c>
      <c r="AZ8" s="175"/>
      <c r="BA8" s="175"/>
    </row>
    <row r="9" spans="2:53" s="177" customFormat="1">
      <c r="B9" s="185">
        <v>7</v>
      </c>
      <c r="C9" s="186" t="s">
        <v>402</v>
      </c>
      <c r="D9" s="187" t="s">
        <v>386</v>
      </c>
      <c r="E9" s="188" t="s">
        <v>394</v>
      </c>
      <c r="F9" s="190" t="s">
        <v>422</v>
      </c>
      <c r="AC9" s="1"/>
      <c r="AD9" s="1" t="s">
        <v>407</v>
      </c>
      <c r="AE9" s="1"/>
      <c r="AL9" s="186">
        <v>0</v>
      </c>
      <c r="AM9" s="186">
        <v>0</v>
      </c>
      <c r="AN9" s="186">
        <v>0</v>
      </c>
      <c r="AO9" s="186">
        <v>0</v>
      </c>
      <c r="AP9" s="186">
        <v>0</v>
      </c>
      <c r="AQ9" s="186">
        <v>202</v>
      </c>
      <c r="AR9" s="186">
        <v>240</v>
      </c>
      <c r="AS9" s="186">
        <v>0</v>
      </c>
      <c r="AT9" s="186">
        <v>300</v>
      </c>
      <c r="AU9" s="186">
        <v>0</v>
      </c>
      <c r="AV9" s="185">
        <v>0</v>
      </c>
      <c r="AW9" s="185">
        <v>0</v>
      </c>
      <c r="AX9" s="185">
        <v>0</v>
      </c>
      <c r="AY9" s="185">
        <v>0</v>
      </c>
      <c r="AZ9" s="175"/>
      <c r="BA9" s="175"/>
    </row>
    <row r="10" spans="2:53" s="177" customFormat="1">
      <c r="B10" s="185">
        <v>8</v>
      </c>
      <c r="C10" s="186" t="s">
        <v>423</v>
      </c>
      <c r="D10" s="187" t="s">
        <v>386</v>
      </c>
      <c r="E10" s="188" t="s">
        <v>395</v>
      </c>
      <c r="F10" s="190" t="s">
        <v>424</v>
      </c>
      <c r="AC10" s="1"/>
      <c r="AD10" s="1" t="s">
        <v>423</v>
      </c>
      <c r="AE10" s="1"/>
      <c r="AL10" s="186">
        <v>39</v>
      </c>
      <c r="AM10" s="186">
        <v>24</v>
      </c>
      <c r="AN10" s="186">
        <v>34</v>
      </c>
      <c r="AO10" s="186">
        <v>76</v>
      </c>
      <c r="AP10" s="186">
        <v>89</v>
      </c>
      <c r="AQ10" s="186">
        <v>100</v>
      </c>
      <c r="AR10" s="186">
        <v>24</v>
      </c>
      <c r="AS10" s="186">
        <v>0</v>
      </c>
      <c r="AT10" s="186">
        <v>0</v>
      </c>
      <c r="AU10" s="186">
        <v>0</v>
      </c>
      <c r="AV10" s="185">
        <v>0</v>
      </c>
      <c r="AW10" s="185">
        <v>0</v>
      </c>
      <c r="AX10" s="185">
        <v>0</v>
      </c>
      <c r="AY10" s="185">
        <v>0</v>
      </c>
      <c r="AZ10" s="175"/>
      <c r="BA10" s="175"/>
    </row>
    <row r="11" spans="2:53" s="177" customFormat="1">
      <c r="B11" s="185">
        <v>9</v>
      </c>
      <c r="C11" s="186" t="s">
        <v>425</v>
      </c>
      <c r="D11" s="187" t="s">
        <v>386</v>
      </c>
      <c r="E11" s="188" t="s">
        <v>396</v>
      </c>
      <c r="F11" s="190" t="s">
        <v>426</v>
      </c>
      <c r="AD11" s="1" t="s">
        <v>419</v>
      </c>
      <c r="AL11" s="186">
        <v>44</v>
      </c>
      <c r="AM11" s="186">
        <v>65</v>
      </c>
      <c r="AN11" s="186">
        <v>76</v>
      </c>
      <c r="AO11" s="186">
        <v>83</v>
      </c>
      <c r="AP11" s="186">
        <v>0</v>
      </c>
      <c r="AQ11" s="186">
        <v>1000</v>
      </c>
      <c r="AR11" s="186">
        <v>0</v>
      </c>
      <c r="AS11" s="186">
        <v>0</v>
      </c>
      <c r="AT11" s="186">
        <v>300</v>
      </c>
      <c r="AU11" s="186">
        <v>0</v>
      </c>
      <c r="AV11" s="185">
        <v>0</v>
      </c>
      <c r="AW11" s="185">
        <v>0</v>
      </c>
      <c r="AX11" s="185">
        <v>0</v>
      </c>
      <c r="AY11" s="185">
        <v>0</v>
      </c>
      <c r="AZ11" s="175"/>
      <c r="BA11" s="175"/>
    </row>
    <row r="12" spans="2:53" s="177" customFormat="1">
      <c r="B12" s="185">
        <v>10</v>
      </c>
      <c r="C12" s="186" t="s">
        <v>427</v>
      </c>
      <c r="D12" s="187" t="s">
        <v>386</v>
      </c>
      <c r="E12" s="188" t="s">
        <v>397</v>
      </c>
      <c r="F12" s="190" t="s">
        <v>428</v>
      </c>
      <c r="AD12" s="1" t="s">
        <v>429</v>
      </c>
      <c r="AL12" s="186">
        <v>0</v>
      </c>
      <c r="AM12" s="186">
        <v>0</v>
      </c>
      <c r="AN12" s="186">
        <v>0</v>
      </c>
      <c r="AO12" s="186">
        <v>0</v>
      </c>
      <c r="AP12" s="186">
        <v>0</v>
      </c>
      <c r="AQ12" s="186">
        <v>1200</v>
      </c>
      <c r="AR12" s="186">
        <v>0</v>
      </c>
      <c r="AS12" s="186">
        <v>0</v>
      </c>
      <c r="AT12" s="186">
        <v>300</v>
      </c>
      <c r="AU12" s="186">
        <v>0</v>
      </c>
      <c r="AV12" s="185">
        <v>0</v>
      </c>
      <c r="AW12" s="185">
        <v>0</v>
      </c>
      <c r="AX12" s="185">
        <v>0</v>
      </c>
      <c r="AY12" s="185">
        <v>0</v>
      </c>
      <c r="AZ12" s="175"/>
      <c r="BA12" s="175"/>
    </row>
    <row r="13" spans="2:53" s="177" customFormat="1">
      <c r="B13" s="185">
        <v>11</v>
      </c>
      <c r="C13" s="186" t="s">
        <v>403</v>
      </c>
      <c r="D13" s="187" t="s">
        <v>389</v>
      </c>
      <c r="E13" s="188" t="s">
        <v>438</v>
      </c>
      <c r="F13" s="190" t="s">
        <v>439</v>
      </c>
      <c r="AD13" s="1" t="s">
        <v>401</v>
      </c>
      <c r="AL13" s="186"/>
      <c r="AM13" s="186"/>
      <c r="AN13" s="186"/>
      <c r="AO13" s="186"/>
      <c r="AP13" s="186"/>
      <c r="AQ13" s="186"/>
      <c r="AR13" s="186"/>
      <c r="AS13" s="186"/>
      <c r="AT13" s="186"/>
      <c r="AU13" s="186"/>
      <c r="AV13" s="185"/>
      <c r="AW13" s="185"/>
      <c r="AX13" s="185"/>
      <c r="AY13" s="185"/>
      <c r="AZ13" s="175"/>
      <c r="BA13" s="175"/>
    </row>
    <row r="14" spans="2:53" s="177" customFormat="1">
      <c r="B14" s="185">
        <v>12</v>
      </c>
      <c r="C14" s="186" t="s">
        <v>436</v>
      </c>
      <c r="D14" s="187" t="s">
        <v>389</v>
      </c>
      <c r="E14" s="188" t="s">
        <v>440</v>
      </c>
      <c r="F14" s="190" t="s">
        <v>441</v>
      </c>
      <c r="AD14" s="1" t="s">
        <v>430</v>
      </c>
      <c r="AL14" s="186"/>
      <c r="AM14" s="186"/>
      <c r="AN14" s="186"/>
      <c r="AO14" s="186"/>
      <c r="AP14" s="186"/>
      <c r="AQ14" s="186"/>
      <c r="AR14" s="186"/>
      <c r="AS14" s="186"/>
      <c r="AT14" s="186"/>
      <c r="AU14" s="186"/>
      <c r="AV14" s="185"/>
      <c r="AW14" s="185"/>
      <c r="AX14" s="185"/>
      <c r="AY14" s="185"/>
      <c r="AZ14" s="175"/>
      <c r="BA14" s="175"/>
    </row>
    <row r="15" spans="2:53" s="177" customFormat="1">
      <c r="B15" s="185">
        <v>13</v>
      </c>
      <c r="C15" s="186" t="s">
        <v>404</v>
      </c>
      <c r="D15" s="187" t="s">
        <v>389</v>
      </c>
      <c r="E15" s="188" t="s">
        <v>442</v>
      </c>
      <c r="F15" s="190" t="s">
        <v>443</v>
      </c>
      <c r="AD15" s="1" t="s">
        <v>431</v>
      </c>
      <c r="AL15" s="186"/>
      <c r="AM15" s="186"/>
      <c r="AN15" s="186"/>
      <c r="AO15" s="186"/>
      <c r="AP15" s="186"/>
      <c r="AQ15" s="186"/>
      <c r="AR15" s="186"/>
      <c r="AS15" s="186"/>
      <c r="AT15" s="186"/>
      <c r="AU15" s="186"/>
      <c r="AV15" s="185"/>
      <c r="AW15" s="185"/>
      <c r="AX15" s="185"/>
      <c r="AY15" s="185"/>
      <c r="AZ15" s="175"/>
      <c r="BA15" s="175"/>
    </row>
    <row r="16" spans="2:53" s="177" customFormat="1">
      <c r="B16" s="185">
        <v>14</v>
      </c>
      <c r="C16" s="186" t="s">
        <v>434</v>
      </c>
      <c r="D16" s="187" t="s">
        <v>389</v>
      </c>
      <c r="E16" s="188" t="s">
        <v>444</v>
      </c>
      <c r="F16" s="190" t="s">
        <v>445</v>
      </c>
      <c r="AD16" s="1" t="s">
        <v>416</v>
      </c>
      <c r="AL16" s="186"/>
      <c r="AM16" s="186"/>
      <c r="AN16" s="186"/>
      <c r="AO16" s="186"/>
      <c r="AP16" s="186"/>
      <c r="AQ16" s="186"/>
      <c r="AR16" s="186"/>
      <c r="AS16" s="186"/>
      <c r="AT16" s="186"/>
      <c r="AU16" s="186"/>
      <c r="AV16" s="185"/>
      <c r="AW16" s="185"/>
      <c r="AX16" s="185"/>
      <c r="AY16" s="185"/>
      <c r="AZ16" s="175"/>
      <c r="BA16" s="175"/>
    </row>
    <row r="17" spans="1:53" s="177" customFormat="1">
      <c r="B17" s="185">
        <v>15</v>
      </c>
      <c r="C17" s="186" t="s">
        <v>405</v>
      </c>
      <c r="D17" s="187" t="s">
        <v>389</v>
      </c>
      <c r="E17" s="188" t="s">
        <v>446</v>
      </c>
      <c r="F17" s="190" t="s">
        <v>447</v>
      </c>
      <c r="AD17" s="1" t="s">
        <v>413</v>
      </c>
      <c r="AL17" s="186">
        <v>475</v>
      </c>
      <c r="AM17" s="186">
        <v>223</v>
      </c>
      <c r="AN17" s="186">
        <v>121</v>
      </c>
      <c r="AO17" s="186">
        <v>300</v>
      </c>
      <c r="AP17" s="186">
        <v>300</v>
      </c>
      <c r="AQ17" s="186"/>
      <c r="AR17" s="186"/>
      <c r="AS17" s="186"/>
      <c r="AT17" s="186"/>
      <c r="AU17" s="186"/>
      <c r="AV17" s="185"/>
      <c r="AW17" s="185"/>
      <c r="AX17" s="185"/>
      <c r="AY17" s="185"/>
      <c r="AZ17" s="185"/>
      <c r="BA17" s="185"/>
    </row>
    <row r="18" spans="1:53" s="177" customFormat="1">
      <c r="B18" s="185">
        <v>16</v>
      </c>
      <c r="C18" s="185" t="s">
        <v>432</v>
      </c>
      <c r="D18" s="187" t="s">
        <v>389</v>
      </c>
      <c r="E18" s="188" t="s">
        <v>448</v>
      </c>
      <c r="F18" s="190" t="s">
        <v>449</v>
      </c>
      <c r="AD18" s="1" t="s">
        <v>432</v>
      </c>
      <c r="AL18" s="186">
        <v>34</v>
      </c>
      <c r="AM18" s="186">
        <v>111</v>
      </c>
      <c r="AN18" s="186">
        <v>232</v>
      </c>
      <c r="AO18" s="186">
        <v>200</v>
      </c>
      <c r="AP18" s="186">
        <v>34</v>
      </c>
      <c r="AQ18" s="186">
        <v>56</v>
      </c>
      <c r="AR18" s="186">
        <v>78</v>
      </c>
      <c r="AS18" s="186">
        <v>76</v>
      </c>
      <c r="AT18" s="186"/>
      <c r="AU18" s="186"/>
      <c r="AV18" s="185"/>
      <c r="AW18" s="185"/>
      <c r="AX18" s="185"/>
      <c r="AY18" s="185"/>
      <c r="AZ18" s="185"/>
      <c r="BA18" s="185"/>
    </row>
    <row r="19" spans="1:53" s="177" customFormat="1">
      <c r="B19" s="185">
        <v>17</v>
      </c>
      <c r="C19" s="185" t="s">
        <v>430</v>
      </c>
      <c r="D19" s="187" t="s">
        <v>389</v>
      </c>
      <c r="E19" s="188" t="s">
        <v>397</v>
      </c>
      <c r="F19" s="190" t="s">
        <v>450</v>
      </c>
      <c r="AD19" s="1" t="s">
        <v>405</v>
      </c>
      <c r="AL19" s="186">
        <v>66</v>
      </c>
      <c r="AM19" s="186"/>
      <c r="AN19" s="186">
        <v>123</v>
      </c>
      <c r="AO19" s="186">
        <v>250</v>
      </c>
      <c r="AP19" s="186"/>
      <c r="AQ19" s="186"/>
      <c r="AR19" s="186"/>
      <c r="AS19" s="186"/>
      <c r="AT19" s="186"/>
      <c r="AU19" s="186"/>
      <c r="AV19" s="185"/>
      <c r="AW19" s="185"/>
      <c r="AX19" s="185"/>
      <c r="AY19" s="185"/>
      <c r="AZ19" s="185"/>
      <c r="BA19" s="185"/>
    </row>
    <row r="20" spans="1:53" s="177" customFormat="1">
      <c r="B20" s="185">
        <v>18</v>
      </c>
      <c r="C20" s="185" t="s">
        <v>406</v>
      </c>
      <c r="D20" s="187" t="s">
        <v>389</v>
      </c>
      <c r="E20" s="188" t="s">
        <v>451</v>
      </c>
      <c r="F20" s="190" t="s">
        <v>452</v>
      </c>
      <c r="AD20" s="1" t="s">
        <v>433</v>
      </c>
      <c r="AL20" s="186">
        <v>78</v>
      </c>
      <c r="AM20" s="186">
        <v>40</v>
      </c>
      <c r="AN20" s="186"/>
      <c r="AO20" s="186"/>
      <c r="AP20" s="186"/>
      <c r="AQ20" s="186">
        <v>1000</v>
      </c>
      <c r="AR20" s="186"/>
      <c r="AS20" s="186"/>
      <c r="AT20" s="186">
        <v>300</v>
      </c>
      <c r="AU20" s="186"/>
      <c r="AV20" s="185"/>
      <c r="AW20" s="185"/>
      <c r="AX20" s="185"/>
      <c r="AY20" s="185"/>
      <c r="AZ20" s="185"/>
      <c r="BA20" s="185"/>
    </row>
    <row r="21" spans="1:53" s="177" customFormat="1">
      <c r="B21" s="185">
        <v>19</v>
      </c>
      <c r="C21" s="185" t="s">
        <v>421</v>
      </c>
      <c r="D21" s="187" t="s">
        <v>389</v>
      </c>
      <c r="E21" s="188" t="s">
        <v>453</v>
      </c>
      <c r="F21" s="190" t="s">
        <v>454</v>
      </c>
      <c r="AD21" s="1" t="s">
        <v>434</v>
      </c>
      <c r="AL21" s="186">
        <v>98</v>
      </c>
      <c r="AM21" s="186"/>
      <c r="AN21" s="186"/>
      <c r="AO21" s="186">
        <v>65</v>
      </c>
      <c r="AP21" s="186">
        <v>444</v>
      </c>
      <c r="AQ21" s="186">
        <v>566</v>
      </c>
      <c r="AR21" s="186">
        <v>34</v>
      </c>
      <c r="AS21" s="186"/>
      <c r="AT21" s="186"/>
      <c r="AU21" s="186">
        <v>16</v>
      </c>
      <c r="AV21" s="185"/>
      <c r="AW21" s="185"/>
      <c r="AX21" s="185"/>
      <c r="AY21" s="185"/>
      <c r="AZ21" s="185">
        <v>24000</v>
      </c>
      <c r="BA21" s="185"/>
    </row>
    <row r="22" spans="1:53" s="177" customFormat="1">
      <c r="B22" s="185">
        <v>20</v>
      </c>
      <c r="C22" s="185" t="s">
        <v>407</v>
      </c>
      <c r="D22" s="187" t="s">
        <v>389</v>
      </c>
      <c r="E22" s="188" t="s">
        <v>455</v>
      </c>
      <c r="F22" s="190" t="s">
        <v>456</v>
      </c>
      <c r="AD22" s="1" t="s">
        <v>425</v>
      </c>
      <c r="AL22" s="185">
        <v>82</v>
      </c>
      <c r="AM22" s="185"/>
      <c r="AN22" s="185">
        <v>20</v>
      </c>
      <c r="AO22" s="185"/>
      <c r="AP22" s="185"/>
      <c r="AQ22" s="185"/>
      <c r="AR22" s="185"/>
      <c r="AS22" s="185">
        <v>200</v>
      </c>
      <c r="AT22" s="185"/>
      <c r="AU22" s="185"/>
      <c r="AV22" s="185"/>
      <c r="AW22" s="185"/>
      <c r="AX22" s="185"/>
      <c r="AY22" s="185"/>
      <c r="AZ22" s="185"/>
      <c r="BA22" s="185"/>
    </row>
    <row r="23" spans="1:53" s="177" customFormat="1">
      <c r="AD23" s="1" t="s">
        <v>427</v>
      </c>
      <c r="AL23" s="185">
        <v>38</v>
      </c>
      <c r="AM23" s="185">
        <v>5</v>
      </c>
      <c r="AN23" s="185"/>
      <c r="AO23" s="185"/>
      <c r="AP23" s="185">
        <v>168</v>
      </c>
      <c r="AQ23" s="185">
        <v>569</v>
      </c>
      <c r="AR23" s="185">
        <v>56</v>
      </c>
      <c r="AS23" s="185">
        <v>7</v>
      </c>
      <c r="AT23" s="185">
        <v>136</v>
      </c>
      <c r="AU23" s="185">
        <v>16</v>
      </c>
      <c r="AV23" s="185"/>
      <c r="AW23" s="185">
        <v>5000</v>
      </c>
      <c r="AX23" s="185">
        <v>5000</v>
      </c>
      <c r="AY23" s="185"/>
      <c r="AZ23" s="185">
        <v>8750</v>
      </c>
      <c r="BA23" s="192">
        <v>480</v>
      </c>
    </row>
    <row r="24" spans="1:53" s="177" customFormat="1">
      <c r="AD24" s="1" t="s">
        <v>435</v>
      </c>
      <c r="AL24" s="185">
        <v>45</v>
      </c>
      <c r="AM24" s="185">
        <v>45</v>
      </c>
      <c r="AN24" s="185">
        <v>45</v>
      </c>
      <c r="AO24" s="185">
        <v>45</v>
      </c>
      <c r="AP24" s="185">
        <v>45</v>
      </c>
      <c r="AQ24" s="185">
        <v>45</v>
      </c>
      <c r="AR24" s="185">
        <v>444</v>
      </c>
      <c r="AS24" s="185">
        <v>45</v>
      </c>
      <c r="AT24" s="185">
        <v>333</v>
      </c>
      <c r="AU24" s="185">
        <v>45</v>
      </c>
      <c r="AV24" s="185"/>
      <c r="AW24" s="185"/>
      <c r="AX24" s="185"/>
      <c r="AY24" s="185">
        <v>24000</v>
      </c>
      <c r="AZ24" s="185"/>
      <c r="BA24" s="185">
        <v>4320</v>
      </c>
    </row>
    <row r="25" spans="1:53" s="177" customFormat="1">
      <c r="AD25" s="1" t="s">
        <v>404</v>
      </c>
      <c r="AL25" s="185">
        <v>45</v>
      </c>
      <c r="AM25" s="185">
        <v>45</v>
      </c>
      <c r="AN25" s="185">
        <v>554</v>
      </c>
      <c r="AO25" s="185">
        <v>65</v>
      </c>
      <c r="AP25" s="185">
        <v>234</v>
      </c>
      <c r="AQ25" s="185">
        <v>45</v>
      </c>
      <c r="AR25" s="185">
        <v>45</v>
      </c>
      <c r="AS25" s="185">
        <v>45</v>
      </c>
      <c r="AT25" s="185">
        <v>45</v>
      </c>
      <c r="AU25" s="185">
        <v>333</v>
      </c>
      <c r="AV25" s="185"/>
      <c r="AW25" s="185"/>
      <c r="AX25" s="185"/>
      <c r="AY25" s="185">
        <v>24000</v>
      </c>
      <c r="AZ25" s="185"/>
      <c r="BA25" s="185"/>
    </row>
    <row r="26" spans="1:53" s="177" customFormat="1">
      <c r="AD26" s="1" t="s">
        <v>436</v>
      </c>
      <c r="AL26" s="185">
        <v>45</v>
      </c>
      <c r="AM26" s="185">
        <v>45</v>
      </c>
      <c r="AN26" s="185">
        <v>234</v>
      </c>
      <c r="AO26" s="185">
        <v>45</v>
      </c>
      <c r="AP26" s="185">
        <v>45</v>
      </c>
      <c r="AQ26" s="185">
        <v>45</v>
      </c>
      <c r="AR26" s="185">
        <v>654</v>
      </c>
      <c r="AS26" s="185">
        <v>45</v>
      </c>
      <c r="AT26" s="185">
        <v>333</v>
      </c>
      <c r="AU26" s="185">
        <v>45</v>
      </c>
      <c r="AV26" s="185"/>
      <c r="AW26" s="185"/>
      <c r="AX26" s="185"/>
      <c r="AY26" s="185">
        <v>24000</v>
      </c>
      <c r="AZ26" s="185"/>
      <c r="BA26" s="185"/>
    </row>
    <row r="27" spans="1:53" s="177" customFormat="1">
      <c r="AD27" s="1" t="s">
        <v>437</v>
      </c>
    </row>
    <row r="28" spans="1:53" s="177" customFormat="1">
      <c r="AD28" s="1" t="s">
        <v>403</v>
      </c>
    </row>
    <row r="29" spans="1:53" s="177" customFormat="1">
      <c r="A29" s="178"/>
      <c r="B29" s="178"/>
      <c r="C29" s="178"/>
      <c r="D29" s="178"/>
      <c r="E29" s="178"/>
      <c r="F29" s="178"/>
    </row>
    <row r="30" spans="1:53" s="177" customFormat="1">
      <c r="A30" s="178"/>
      <c r="B30" s="178"/>
      <c r="C30" s="178"/>
      <c r="D30" s="178"/>
      <c r="E30" s="178"/>
      <c r="F30" s="178"/>
    </row>
    <row r="31" spans="1:53" s="177" customFormat="1">
      <c r="A31" s="178"/>
      <c r="B31" s="178"/>
      <c r="C31" s="178"/>
      <c r="D31" s="178"/>
      <c r="E31" s="178"/>
      <c r="F31" s="178"/>
    </row>
    <row r="32" spans="1:53" s="177" customFormat="1">
      <c r="A32" s="178"/>
      <c r="B32" s="178"/>
      <c r="C32" s="178"/>
      <c r="D32" s="178"/>
      <c r="E32" s="178"/>
      <c r="F32" s="178"/>
    </row>
    <row r="33" spans="1:6" s="177" customFormat="1">
      <c r="A33" s="178"/>
      <c r="B33" s="178"/>
      <c r="C33" s="178"/>
      <c r="D33" s="178"/>
      <c r="E33" s="178"/>
      <c r="F33" s="178"/>
    </row>
    <row r="34" spans="1:6" s="177" customFormat="1">
      <c r="A34" s="178"/>
      <c r="B34" s="178"/>
      <c r="C34" s="178"/>
      <c r="D34" s="178"/>
      <c r="E34" s="178"/>
      <c r="F34" s="178"/>
    </row>
    <row r="35" spans="1:6" s="177" customFormat="1">
      <c r="A35" s="178"/>
      <c r="B35" s="178"/>
      <c r="C35" s="178"/>
      <c r="D35" s="178"/>
      <c r="E35" s="178"/>
      <c r="F35" s="178"/>
    </row>
    <row r="36" spans="1:6" s="177" customFormat="1">
      <c r="A36" s="178"/>
      <c r="B36" s="178"/>
      <c r="C36" s="178"/>
      <c r="D36" s="178"/>
      <c r="E36" s="178"/>
      <c r="F36" s="178"/>
    </row>
    <row r="37" spans="1:6" s="177" customFormat="1"/>
    <row r="38" spans="1:6" s="177" customFormat="1"/>
    <row r="39" spans="1:6" s="177" customFormat="1"/>
    <row r="40" spans="1:6" s="177" customFormat="1"/>
    <row r="41" spans="1:6" s="177" customFormat="1"/>
    <row r="42" spans="1:6" s="177" customFormat="1"/>
    <row r="43" spans="1:6" s="177" customFormat="1"/>
    <row r="44" spans="1:6" s="177" customFormat="1"/>
    <row r="45" spans="1:6" s="177" customFormat="1"/>
    <row r="46" spans="1:6" s="177" customFormat="1"/>
    <row r="47" spans="1:6" s="177" customFormat="1"/>
    <row r="48" spans="1:6" s="177" customFormat="1"/>
    <row r="49" s="177" customFormat="1"/>
    <row r="50" s="177" customFormat="1"/>
    <row r="51" s="177" customFormat="1"/>
    <row r="52" s="177" customFormat="1"/>
    <row r="53" s="177" customFormat="1"/>
    <row r="54" s="177" customFormat="1"/>
    <row r="55" s="177" customFormat="1"/>
    <row r="56" s="177" customFormat="1"/>
    <row r="57" s="177" customFormat="1"/>
    <row r="58" s="177" customFormat="1"/>
    <row r="59" s="177" customFormat="1"/>
    <row r="60" s="177" customFormat="1"/>
    <row r="61" s="177" customFormat="1"/>
    <row r="62" s="177" customFormat="1"/>
    <row r="63" s="177" customFormat="1"/>
    <row r="64" s="177" customFormat="1"/>
    <row r="65" s="177" customFormat="1"/>
    <row r="66" s="177" customFormat="1"/>
    <row r="67" s="177" customFormat="1"/>
    <row r="68" s="177" customFormat="1"/>
    <row r="69" s="177" customFormat="1"/>
    <row r="70" s="177" customFormat="1"/>
    <row r="71" s="177" customFormat="1"/>
    <row r="72" s="177" customFormat="1"/>
    <row r="73" s="177" customFormat="1"/>
    <row r="74" s="177" customFormat="1"/>
    <row r="75" s="177" customFormat="1"/>
    <row r="76" s="177" customFormat="1"/>
    <row r="77" s="177" customFormat="1"/>
    <row r="78" s="177" customFormat="1"/>
    <row r="79" s="177" customFormat="1"/>
    <row r="80" s="177" customFormat="1"/>
    <row r="81" s="177" customFormat="1"/>
    <row r="82" s="177" customFormat="1"/>
    <row r="83" s="177" customFormat="1"/>
    <row r="84" s="177" customFormat="1"/>
    <row r="85" s="177" customFormat="1"/>
    <row r="86" s="177" customFormat="1"/>
    <row r="87" s="177" customFormat="1"/>
    <row r="88" s="177" customFormat="1"/>
    <row r="89" s="177" customFormat="1"/>
    <row r="90" s="177" customFormat="1"/>
    <row r="91" s="177" customFormat="1"/>
    <row r="92" s="177" customFormat="1"/>
    <row r="93" s="177" customFormat="1"/>
    <row r="94" s="177" customFormat="1"/>
    <row r="95" s="177" customFormat="1"/>
    <row r="96" s="177" customFormat="1"/>
    <row r="97" s="177" customFormat="1"/>
    <row r="98" s="177" customFormat="1"/>
    <row r="99" s="177" customFormat="1"/>
    <row r="100" s="177" customFormat="1"/>
    <row r="101" s="177" customFormat="1"/>
    <row r="102" s="177" customFormat="1"/>
    <row r="103" s="177" customFormat="1"/>
    <row r="104" s="177" customFormat="1"/>
    <row r="105" s="177" customFormat="1"/>
    <row r="106" s="177" customFormat="1"/>
    <row r="107" s="177" customFormat="1"/>
    <row r="108" s="177" customFormat="1"/>
    <row r="109" s="177" customFormat="1"/>
    <row r="110" s="177" customFormat="1"/>
    <row r="111" s="177" customFormat="1"/>
    <row r="112" s="177" customFormat="1"/>
    <row r="113" s="177" customFormat="1"/>
    <row r="114" s="177" customFormat="1"/>
    <row r="115" s="177" customFormat="1"/>
    <row r="116" s="177" customFormat="1"/>
    <row r="117" s="177" customFormat="1"/>
    <row r="118" s="177" customFormat="1"/>
    <row r="119" s="177" customFormat="1"/>
    <row r="120" s="177" customFormat="1"/>
    <row r="121" s="177" customFormat="1"/>
    <row r="122" s="177" customFormat="1"/>
    <row r="123" s="177" customFormat="1"/>
    <row r="124" s="177" customFormat="1"/>
    <row r="125" s="177" customFormat="1"/>
    <row r="126" s="177" customFormat="1"/>
    <row r="127" s="177" customFormat="1"/>
    <row r="128" s="177" customFormat="1"/>
    <row r="129" s="177" customFormat="1"/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9" tint="-0.249977111117893"/>
  </sheetPr>
  <dimension ref="A1:K44"/>
  <sheetViews>
    <sheetView zoomScale="120" zoomScaleNormal="120" workbookViewId="0">
      <selection activeCell="D6" sqref="D6"/>
    </sheetView>
  </sheetViews>
  <sheetFormatPr defaultColWidth="4.28515625" defaultRowHeight="15"/>
  <cols>
    <col min="1" max="1" width="4.28515625" style="127" customWidth="1"/>
    <col min="2" max="2" width="13.28515625" style="127" customWidth="1"/>
    <col min="3" max="3" width="9.28515625" style="127" customWidth="1"/>
    <col min="4" max="4" width="28" style="127" customWidth="1"/>
    <col min="5" max="5" width="19.28515625" style="127" customWidth="1"/>
    <col min="6" max="7" width="13" customWidth="1"/>
    <col min="8" max="8" width="6" style="127" customWidth="1"/>
    <col min="9" max="9" width="9.42578125" style="127" customWidth="1"/>
    <col min="10" max="13" width="9.28515625" style="127" customWidth="1"/>
    <col min="14" max="14" width="12.7109375" style="127" customWidth="1"/>
    <col min="15" max="255" width="9.28515625" style="127" customWidth="1"/>
    <col min="256" max="256" width="4.28515625" style="127"/>
    <col min="257" max="257" width="4.28515625" style="127" customWidth="1"/>
    <col min="258" max="258" width="13.28515625" style="127" customWidth="1"/>
    <col min="259" max="259" width="9.28515625" style="127" customWidth="1"/>
    <col min="260" max="260" width="10.5703125" style="127" bestFit="1" customWidth="1"/>
    <col min="261" max="261" width="12" style="127" customWidth="1"/>
    <col min="262" max="262" width="9.28515625" style="127" customWidth="1"/>
    <col min="263" max="263" width="15.7109375" style="127" bestFit="1" customWidth="1"/>
    <col min="264" max="264" width="9.7109375" style="127" customWidth="1"/>
    <col min="265" max="265" width="11" style="127" bestFit="1" customWidth="1"/>
    <col min="266" max="511" width="9.28515625" style="127" customWidth="1"/>
    <col min="512" max="512" width="4.28515625" style="127"/>
    <col min="513" max="513" width="4.28515625" style="127" customWidth="1"/>
    <col min="514" max="514" width="13.28515625" style="127" customWidth="1"/>
    <col min="515" max="515" width="9.28515625" style="127" customWidth="1"/>
    <col min="516" max="516" width="10.5703125" style="127" bestFit="1" customWidth="1"/>
    <col min="517" max="517" width="12" style="127" customWidth="1"/>
    <col min="518" max="518" width="9.28515625" style="127" customWidth="1"/>
    <col min="519" max="519" width="15.7109375" style="127" bestFit="1" customWidth="1"/>
    <col min="520" max="520" width="9.7109375" style="127" customWidth="1"/>
    <col min="521" max="521" width="11" style="127" bestFit="1" customWidth="1"/>
    <col min="522" max="767" width="9.28515625" style="127" customWidth="1"/>
    <col min="768" max="768" width="4.28515625" style="127"/>
    <col min="769" max="769" width="4.28515625" style="127" customWidth="1"/>
    <col min="770" max="770" width="13.28515625" style="127" customWidth="1"/>
    <col min="771" max="771" width="9.28515625" style="127" customWidth="1"/>
    <col min="772" max="772" width="10.5703125" style="127" bestFit="1" customWidth="1"/>
    <col min="773" max="773" width="12" style="127" customWidth="1"/>
    <col min="774" max="774" width="9.28515625" style="127" customWidth="1"/>
    <col min="775" max="775" width="15.7109375" style="127" bestFit="1" customWidth="1"/>
    <col min="776" max="776" width="9.7109375" style="127" customWidth="1"/>
    <col min="777" max="777" width="11" style="127" bestFit="1" customWidth="1"/>
    <col min="778" max="1023" width="9.28515625" style="127" customWidth="1"/>
    <col min="1024" max="1024" width="4.28515625" style="127"/>
    <col min="1025" max="1025" width="4.28515625" style="127" customWidth="1"/>
    <col min="1026" max="1026" width="13.28515625" style="127" customWidth="1"/>
    <col min="1027" max="1027" width="9.28515625" style="127" customWidth="1"/>
    <col min="1028" max="1028" width="10.5703125" style="127" bestFit="1" customWidth="1"/>
    <col min="1029" max="1029" width="12" style="127" customWidth="1"/>
    <col min="1030" max="1030" width="9.28515625" style="127" customWidth="1"/>
    <col min="1031" max="1031" width="15.7109375" style="127" bestFit="1" customWidth="1"/>
    <col min="1032" max="1032" width="9.7109375" style="127" customWidth="1"/>
    <col min="1033" max="1033" width="11" style="127" bestFit="1" customWidth="1"/>
    <col min="1034" max="1279" width="9.28515625" style="127" customWidth="1"/>
    <col min="1280" max="1280" width="4.28515625" style="127"/>
    <col min="1281" max="1281" width="4.28515625" style="127" customWidth="1"/>
    <col min="1282" max="1282" width="13.28515625" style="127" customWidth="1"/>
    <col min="1283" max="1283" width="9.28515625" style="127" customWidth="1"/>
    <col min="1284" max="1284" width="10.5703125" style="127" bestFit="1" customWidth="1"/>
    <col min="1285" max="1285" width="12" style="127" customWidth="1"/>
    <col min="1286" max="1286" width="9.28515625" style="127" customWidth="1"/>
    <col min="1287" max="1287" width="15.7109375" style="127" bestFit="1" customWidth="1"/>
    <col min="1288" max="1288" width="9.7109375" style="127" customWidth="1"/>
    <col min="1289" max="1289" width="11" style="127" bestFit="1" customWidth="1"/>
    <col min="1290" max="1535" width="9.28515625" style="127" customWidth="1"/>
    <col min="1536" max="1536" width="4.28515625" style="127"/>
    <col min="1537" max="1537" width="4.28515625" style="127" customWidth="1"/>
    <col min="1538" max="1538" width="13.28515625" style="127" customWidth="1"/>
    <col min="1539" max="1539" width="9.28515625" style="127" customWidth="1"/>
    <col min="1540" max="1540" width="10.5703125" style="127" bestFit="1" customWidth="1"/>
    <col min="1541" max="1541" width="12" style="127" customWidth="1"/>
    <col min="1542" max="1542" width="9.28515625" style="127" customWidth="1"/>
    <col min="1543" max="1543" width="15.7109375" style="127" bestFit="1" customWidth="1"/>
    <col min="1544" max="1544" width="9.7109375" style="127" customWidth="1"/>
    <col min="1545" max="1545" width="11" style="127" bestFit="1" customWidth="1"/>
    <col min="1546" max="1791" width="9.28515625" style="127" customWidth="1"/>
    <col min="1792" max="1792" width="4.28515625" style="127"/>
    <col min="1793" max="1793" width="4.28515625" style="127" customWidth="1"/>
    <col min="1794" max="1794" width="13.28515625" style="127" customWidth="1"/>
    <col min="1795" max="1795" width="9.28515625" style="127" customWidth="1"/>
    <col min="1796" max="1796" width="10.5703125" style="127" bestFit="1" customWidth="1"/>
    <col min="1797" max="1797" width="12" style="127" customWidth="1"/>
    <col min="1798" max="1798" width="9.28515625" style="127" customWidth="1"/>
    <col min="1799" max="1799" width="15.7109375" style="127" bestFit="1" customWidth="1"/>
    <col min="1800" max="1800" width="9.7109375" style="127" customWidth="1"/>
    <col min="1801" max="1801" width="11" style="127" bestFit="1" customWidth="1"/>
    <col min="1802" max="2047" width="9.28515625" style="127" customWidth="1"/>
    <col min="2048" max="2048" width="4.28515625" style="127"/>
    <col min="2049" max="2049" width="4.28515625" style="127" customWidth="1"/>
    <col min="2050" max="2050" width="13.28515625" style="127" customWidth="1"/>
    <col min="2051" max="2051" width="9.28515625" style="127" customWidth="1"/>
    <col min="2052" max="2052" width="10.5703125" style="127" bestFit="1" customWidth="1"/>
    <col min="2053" max="2053" width="12" style="127" customWidth="1"/>
    <col min="2054" max="2054" width="9.28515625" style="127" customWidth="1"/>
    <col min="2055" max="2055" width="15.7109375" style="127" bestFit="1" customWidth="1"/>
    <col min="2056" max="2056" width="9.7109375" style="127" customWidth="1"/>
    <col min="2057" max="2057" width="11" style="127" bestFit="1" customWidth="1"/>
    <col min="2058" max="2303" width="9.28515625" style="127" customWidth="1"/>
    <col min="2304" max="2304" width="4.28515625" style="127"/>
    <col min="2305" max="2305" width="4.28515625" style="127" customWidth="1"/>
    <col min="2306" max="2306" width="13.28515625" style="127" customWidth="1"/>
    <col min="2307" max="2307" width="9.28515625" style="127" customWidth="1"/>
    <col min="2308" max="2308" width="10.5703125" style="127" bestFit="1" customWidth="1"/>
    <col min="2309" max="2309" width="12" style="127" customWidth="1"/>
    <col min="2310" max="2310" width="9.28515625" style="127" customWidth="1"/>
    <col min="2311" max="2311" width="15.7109375" style="127" bestFit="1" customWidth="1"/>
    <col min="2312" max="2312" width="9.7109375" style="127" customWidth="1"/>
    <col min="2313" max="2313" width="11" style="127" bestFit="1" customWidth="1"/>
    <col min="2314" max="2559" width="9.28515625" style="127" customWidth="1"/>
    <col min="2560" max="2560" width="4.28515625" style="127"/>
    <col min="2561" max="2561" width="4.28515625" style="127" customWidth="1"/>
    <col min="2562" max="2562" width="13.28515625" style="127" customWidth="1"/>
    <col min="2563" max="2563" width="9.28515625" style="127" customWidth="1"/>
    <col min="2564" max="2564" width="10.5703125" style="127" bestFit="1" customWidth="1"/>
    <col min="2565" max="2565" width="12" style="127" customWidth="1"/>
    <col min="2566" max="2566" width="9.28515625" style="127" customWidth="1"/>
    <col min="2567" max="2567" width="15.7109375" style="127" bestFit="1" customWidth="1"/>
    <col min="2568" max="2568" width="9.7109375" style="127" customWidth="1"/>
    <col min="2569" max="2569" width="11" style="127" bestFit="1" customWidth="1"/>
    <col min="2570" max="2815" width="9.28515625" style="127" customWidth="1"/>
    <col min="2816" max="2816" width="4.28515625" style="127"/>
    <col min="2817" max="2817" width="4.28515625" style="127" customWidth="1"/>
    <col min="2818" max="2818" width="13.28515625" style="127" customWidth="1"/>
    <col min="2819" max="2819" width="9.28515625" style="127" customWidth="1"/>
    <col min="2820" max="2820" width="10.5703125" style="127" bestFit="1" customWidth="1"/>
    <col min="2821" max="2821" width="12" style="127" customWidth="1"/>
    <col min="2822" max="2822" width="9.28515625" style="127" customWidth="1"/>
    <col min="2823" max="2823" width="15.7109375" style="127" bestFit="1" customWidth="1"/>
    <col min="2824" max="2824" width="9.7109375" style="127" customWidth="1"/>
    <col min="2825" max="2825" width="11" style="127" bestFit="1" customWidth="1"/>
    <col min="2826" max="3071" width="9.28515625" style="127" customWidth="1"/>
    <col min="3072" max="3072" width="4.28515625" style="127"/>
    <col min="3073" max="3073" width="4.28515625" style="127" customWidth="1"/>
    <col min="3074" max="3074" width="13.28515625" style="127" customWidth="1"/>
    <col min="3075" max="3075" width="9.28515625" style="127" customWidth="1"/>
    <col min="3076" max="3076" width="10.5703125" style="127" bestFit="1" customWidth="1"/>
    <col min="3077" max="3077" width="12" style="127" customWidth="1"/>
    <col min="3078" max="3078" width="9.28515625" style="127" customWidth="1"/>
    <col min="3079" max="3079" width="15.7109375" style="127" bestFit="1" customWidth="1"/>
    <col min="3080" max="3080" width="9.7109375" style="127" customWidth="1"/>
    <col min="3081" max="3081" width="11" style="127" bestFit="1" customWidth="1"/>
    <col min="3082" max="3327" width="9.28515625" style="127" customWidth="1"/>
    <col min="3328" max="3328" width="4.28515625" style="127"/>
    <col min="3329" max="3329" width="4.28515625" style="127" customWidth="1"/>
    <col min="3330" max="3330" width="13.28515625" style="127" customWidth="1"/>
    <col min="3331" max="3331" width="9.28515625" style="127" customWidth="1"/>
    <col min="3332" max="3332" width="10.5703125" style="127" bestFit="1" customWidth="1"/>
    <col min="3333" max="3333" width="12" style="127" customWidth="1"/>
    <col min="3334" max="3334" width="9.28515625" style="127" customWidth="1"/>
    <col min="3335" max="3335" width="15.7109375" style="127" bestFit="1" customWidth="1"/>
    <col min="3336" max="3336" width="9.7109375" style="127" customWidth="1"/>
    <col min="3337" max="3337" width="11" style="127" bestFit="1" customWidth="1"/>
    <col min="3338" max="3583" width="9.28515625" style="127" customWidth="1"/>
    <col min="3584" max="3584" width="4.28515625" style="127"/>
    <col min="3585" max="3585" width="4.28515625" style="127" customWidth="1"/>
    <col min="3586" max="3586" width="13.28515625" style="127" customWidth="1"/>
    <col min="3587" max="3587" width="9.28515625" style="127" customWidth="1"/>
    <col min="3588" max="3588" width="10.5703125" style="127" bestFit="1" customWidth="1"/>
    <col min="3589" max="3589" width="12" style="127" customWidth="1"/>
    <col min="3590" max="3590" width="9.28515625" style="127" customWidth="1"/>
    <col min="3591" max="3591" width="15.7109375" style="127" bestFit="1" customWidth="1"/>
    <col min="3592" max="3592" width="9.7109375" style="127" customWidth="1"/>
    <col min="3593" max="3593" width="11" style="127" bestFit="1" customWidth="1"/>
    <col min="3594" max="3839" width="9.28515625" style="127" customWidth="1"/>
    <col min="3840" max="3840" width="4.28515625" style="127"/>
    <col min="3841" max="3841" width="4.28515625" style="127" customWidth="1"/>
    <col min="3842" max="3842" width="13.28515625" style="127" customWidth="1"/>
    <col min="3843" max="3843" width="9.28515625" style="127" customWidth="1"/>
    <col min="3844" max="3844" width="10.5703125" style="127" bestFit="1" customWidth="1"/>
    <col min="3845" max="3845" width="12" style="127" customWidth="1"/>
    <col min="3846" max="3846" width="9.28515625" style="127" customWidth="1"/>
    <col min="3847" max="3847" width="15.7109375" style="127" bestFit="1" customWidth="1"/>
    <col min="3848" max="3848" width="9.7109375" style="127" customWidth="1"/>
    <col min="3849" max="3849" width="11" style="127" bestFit="1" customWidth="1"/>
    <col min="3850" max="4095" width="9.28515625" style="127" customWidth="1"/>
    <col min="4096" max="4096" width="4.28515625" style="127"/>
    <col min="4097" max="4097" width="4.28515625" style="127" customWidth="1"/>
    <col min="4098" max="4098" width="13.28515625" style="127" customWidth="1"/>
    <col min="4099" max="4099" width="9.28515625" style="127" customWidth="1"/>
    <col min="4100" max="4100" width="10.5703125" style="127" bestFit="1" customWidth="1"/>
    <col min="4101" max="4101" width="12" style="127" customWidth="1"/>
    <col min="4102" max="4102" width="9.28515625" style="127" customWidth="1"/>
    <col min="4103" max="4103" width="15.7109375" style="127" bestFit="1" customWidth="1"/>
    <col min="4104" max="4104" width="9.7109375" style="127" customWidth="1"/>
    <col min="4105" max="4105" width="11" style="127" bestFit="1" customWidth="1"/>
    <col min="4106" max="4351" width="9.28515625" style="127" customWidth="1"/>
    <col min="4352" max="4352" width="4.28515625" style="127"/>
    <col min="4353" max="4353" width="4.28515625" style="127" customWidth="1"/>
    <col min="4354" max="4354" width="13.28515625" style="127" customWidth="1"/>
    <col min="4355" max="4355" width="9.28515625" style="127" customWidth="1"/>
    <col min="4356" max="4356" width="10.5703125" style="127" bestFit="1" customWidth="1"/>
    <col min="4357" max="4357" width="12" style="127" customWidth="1"/>
    <col min="4358" max="4358" width="9.28515625" style="127" customWidth="1"/>
    <col min="4359" max="4359" width="15.7109375" style="127" bestFit="1" customWidth="1"/>
    <col min="4360" max="4360" width="9.7109375" style="127" customWidth="1"/>
    <col min="4361" max="4361" width="11" style="127" bestFit="1" customWidth="1"/>
    <col min="4362" max="4607" width="9.28515625" style="127" customWidth="1"/>
    <col min="4608" max="4608" width="4.28515625" style="127"/>
    <col min="4609" max="4609" width="4.28515625" style="127" customWidth="1"/>
    <col min="4610" max="4610" width="13.28515625" style="127" customWidth="1"/>
    <col min="4611" max="4611" width="9.28515625" style="127" customWidth="1"/>
    <col min="4612" max="4612" width="10.5703125" style="127" bestFit="1" customWidth="1"/>
    <col min="4613" max="4613" width="12" style="127" customWidth="1"/>
    <col min="4614" max="4614" width="9.28515625" style="127" customWidth="1"/>
    <col min="4615" max="4615" width="15.7109375" style="127" bestFit="1" customWidth="1"/>
    <col min="4616" max="4616" width="9.7109375" style="127" customWidth="1"/>
    <col min="4617" max="4617" width="11" style="127" bestFit="1" customWidth="1"/>
    <col min="4618" max="4863" width="9.28515625" style="127" customWidth="1"/>
    <col min="4864" max="4864" width="4.28515625" style="127"/>
    <col min="4865" max="4865" width="4.28515625" style="127" customWidth="1"/>
    <col min="4866" max="4866" width="13.28515625" style="127" customWidth="1"/>
    <col min="4867" max="4867" width="9.28515625" style="127" customWidth="1"/>
    <col min="4868" max="4868" width="10.5703125" style="127" bestFit="1" customWidth="1"/>
    <col min="4869" max="4869" width="12" style="127" customWidth="1"/>
    <col min="4870" max="4870" width="9.28515625" style="127" customWidth="1"/>
    <col min="4871" max="4871" width="15.7109375" style="127" bestFit="1" customWidth="1"/>
    <col min="4872" max="4872" width="9.7109375" style="127" customWidth="1"/>
    <col min="4873" max="4873" width="11" style="127" bestFit="1" customWidth="1"/>
    <col min="4874" max="5119" width="9.28515625" style="127" customWidth="1"/>
    <col min="5120" max="5120" width="4.28515625" style="127"/>
    <col min="5121" max="5121" width="4.28515625" style="127" customWidth="1"/>
    <col min="5122" max="5122" width="13.28515625" style="127" customWidth="1"/>
    <col min="5123" max="5123" width="9.28515625" style="127" customWidth="1"/>
    <col min="5124" max="5124" width="10.5703125" style="127" bestFit="1" customWidth="1"/>
    <col min="5125" max="5125" width="12" style="127" customWidth="1"/>
    <col min="5126" max="5126" width="9.28515625" style="127" customWidth="1"/>
    <col min="5127" max="5127" width="15.7109375" style="127" bestFit="1" customWidth="1"/>
    <col min="5128" max="5128" width="9.7109375" style="127" customWidth="1"/>
    <col min="5129" max="5129" width="11" style="127" bestFit="1" customWidth="1"/>
    <col min="5130" max="5375" width="9.28515625" style="127" customWidth="1"/>
    <col min="5376" max="5376" width="4.28515625" style="127"/>
    <col min="5377" max="5377" width="4.28515625" style="127" customWidth="1"/>
    <col min="5378" max="5378" width="13.28515625" style="127" customWidth="1"/>
    <col min="5379" max="5379" width="9.28515625" style="127" customWidth="1"/>
    <col min="5380" max="5380" width="10.5703125" style="127" bestFit="1" customWidth="1"/>
    <col min="5381" max="5381" width="12" style="127" customWidth="1"/>
    <col min="5382" max="5382" width="9.28515625" style="127" customWidth="1"/>
    <col min="5383" max="5383" width="15.7109375" style="127" bestFit="1" customWidth="1"/>
    <col min="5384" max="5384" width="9.7109375" style="127" customWidth="1"/>
    <col min="5385" max="5385" width="11" style="127" bestFit="1" customWidth="1"/>
    <col min="5386" max="5631" width="9.28515625" style="127" customWidth="1"/>
    <col min="5632" max="5632" width="4.28515625" style="127"/>
    <col min="5633" max="5633" width="4.28515625" style="127" customWidth="1"/>
    <col min="5634" max="5634" width="13.28515625" style="127" customWidth="1"/>
    <col min="5635" max="5635" width="9.28515625" style="127" customWidth="1"/>
    <col min="5636" max="5636" width="10.5703125" style="127" bestFit="1" customWidth="1"/>
    <col min="5637" max="5637" width="12" style="127" customWidth="1"/>
    <col min="5638" max="5638" width="9.28515625" style="127" customWidth="1"/>
    <col min="5639" max="5639" width="15.7109375" style="127" bestFit="1" customWidth="1"/>
    <col min="5640" max="5640" width="9.7109375" style="127" customWidth="1"/>
    <col min="5641" max="5641" width="11" style="127" bestFit="1" customWidth="1"/>
    <col min="5642" max="5887" width="9.28515625" style="127" customWidth="1"/>
    <col min="5888" max="5888" width="4.28515625" style="127"/>
    <col min="5889" max="5889" width="4.28515625" style="127" customWidth="1"/>
    <col min="5890" max="5890" width="13.28515625" style="127" customWidth="1"/>
    <col min="5891" max="5891" width="9.28515625" style="127" customWidth="1"/>
    <col min="5892" max="5892" width="10.5703125" style="127" bestFit="1" customWidth="1"/>
    <col min="5893" max="5893" width="12" style="127" customWidth="1"/>
    <col min="5894" max="5894" width="9.28515625" style="127" customWidth="1"/>
    <col min="5895" max="5895" width="15.7109375" style="127" bestFit="1" customWidth="1"/>
    <col min="5896" max="5896" width="9.7109375" style="127" customWidth="1"/>
    <col min="5897" max="5897" width="11" style="127" bestFit="1" customWidth="1"/>
    <col min="5898" max="6143" width="9.28515625" style="127" customWidth="1"/>
    <col min="6144" max="6144" width="4.28515625" style="127"/>
    <col min="6145" max="6145" width="4.28515625" style="127" customWidth="1"/>
    <col min="6146" max="6146" width="13.28515625" style="127" customWidth="1"/>
    <col min="6147" max="6147" width="9.28515625" style="127" customWidth="1"/>
    <col min="6148" max="6148" width="10.5703125" style="127" bestFit="1" customWidth="1"/>
    <col min="6149" max="6149" width="12" style="127" customWidth="1"/>
    <col min="6150" max="6150" width="9.28515625" style="127" customWidth="1"/>
    <col min="6151" max="6151" width="15.7109375" style="127" bestFit="1" customWidth="1"/>
    <col min="6152" max="6152" width="9.7109375" style="127" customWidth="1"/>
    <col min="6153" max="6153" width="11" style="127" bestFit="1" customWidth="1"/>
    <col min="6154" max="6399" width="9.28515625" style="127" customWidth="1"/>
    <col min="6400" max="6400" width="4.28515625" style="127"/>
    <col min="6401" max="6401" width="4.28515625" style="127" customWidth="1"/>
    <col min="6402" max="6402" width="13.28515625" style="127" customWidth="1"/>
    <col min="6403" max="6403" width="9.28515625" style="127" customWidth="1"/>
    <col min="6404" max="6404" width="10.5703125" style="127" bestFit="1" customWidth="1"/>
    <col min="6405" max="6405" width="12" style="127" customWidth="1"/>
    <col min="6406" max="6406" width="9.28515625" style="127" customWidth="1"/>
    <col min="6407" max="6407" width="15.7109375" style="127" bestFit="1" customWidth="1"/>
    <col min="6408" max="6408" width="9.7109375" style="127" customWidth="1"/>
    <col min="6409" max="6409" width="11" style="127" bestFit="1" customWidth="1"/>
    <col min="6410" max="6655" width="9.28515625" style="127" customWidth="1"/>
    <col min="6656" max="6656" width="4.28515625" style="127"/>
    <col min="6657" max="6657" width="4.28515625" style="127" customWidth="1"/>
    <col min="6658" max="6658" width="13.28515625" style="127" customWidth="1"/>
    <col min="6659" max="6659" width="9.28515625" style="127" customWidth="1"/>
    <col min="6660" max="6660" width="10.5703125" style="127" bestFit="1" customWidth="1"/>
    <col min="6661" max="6661" width="12" style="127" customWidth="1"/>
    <col min="6662" max="6662" width="9.28515625" style="127" customWidth="1"/>
    <col min="6663" max="6663" width="15.7109375" style="127" bestFit="1" customWidth="1"/>
    <col min="6664" max="6664" width="9.7109375" style="127" customWidth="1"/>
    <col min="6665" max="6665" width="11" style="127" bestFit="1" customWidth="1"/>
    <col min="6666" max="6911" width="9.28515625" style="127" customWidth="1"/>
    <col min="6912" max="6912" width="4.28515625" style="127"/>
    <col min="6913" max="6913" width="4.28515625" style="127" customWidth="1"/>
    <col min="6914" max="6914" width="13.28515625" style="127" customWidth="1"/>
    <col min="6915" max="6915" width="9.28515625" style="127" customWidth="1"/>
    <col min="6916" max="6916" width="10.5703125" style="127" bestFit="1" customWidth="1"/>
    <col min="6917" max="6917" width="12" style="127" customWidth="1"/>
    <col min="6918" max="6918" width="9.28515625" style="127" customWidth="1"/>
    <col min="6919" max="6919" width="15.7109375" style="127" bestFit="1" customWidth="1"/>
    <col min="6920" max="6920" width="9.7109375" style="127" customWidth="1"/>
    <col min="6921" max="6921" width="11" style="127" bestFit="1" customWidth="1"/>
    <col min="6922" max="7167" width="9.28515625" style="127" customWidth="1"/>
    <col min="7168" max="7168" width="4.28515625" style="127"/>
    <col min="7169" max="7169" width="4.28515625" style="127" customWidth="1"/>
    <col min="7170" max="7170" width="13.28515625" style="127" customWidth="1"/>
    <col min="7171" max="7171" width="9.28515625" style="127" customWidth="1"/>
    <col min="7172" max="7172" width="10.5703125" style="127" bestFit="1" customWidth="1"/>
    <col min="7173" max="7173" width="12" style="127" customWidth="1"/>
    <col min="7174" max="7174" width="9.28515625" style="127" customWidth="1"/>
    <col min="7175" max="7175" width="15.7109375" style="127" bestFit="1" customWidth="1"/>
    <col min="7176" max="7176" width="9.7109375" style="127" customWidth="1"/>
    <col min="7177" max="7177" width="11" style="127" bestFit="1" customWidth="1"/>
    <col min="7178" max="7423" width="9.28515625" style="127" customWidth="1"/>
    <col min="7424" max="7424" width="4.28515625" style="127"/>
    <col min="7425" max="7425" width="4.28515625" style="127" customWidth="1"/>
    <col min="7426" max="7426" width="13.28515625" style="127" customWidth="1"/>
    <col min="7427" max="7427" width="9.28515625" style="127" customWidth="1"/>
    <col min="7428" max="7428" width="10.5703125" style="127" bestFit="1" customWidth="1"/>
    <col min="7429" max="7429" width="12" style="127" customWidth="1"/>
    <col min="7430" max="7430" width="9.28515625" style="127" customWidth="1"/>
    <col min="7431" max="7431" width="15.7109375" style="127" bestFit="1" customWidth="1"/>
    <col min="7432" max="7432" width="9.7109375" style="127" customWidth="1"/>
    <col min="7433" max="7433" width="11" style="127" bestFit="1" customWidth="1"/>
    <col min="7434" max="7679" width="9.28515625" style="127" customWidth="1"/>
    <col min="7680" max="7680" width="4.28515625" style="127"/>
    <col min="7681" max="7681" width="4.28515625" style="127" customWidth="1"/>
    <col min="7682" max="7682" width="13.28515625" style="127" customWidth="1"/>
    <col min="7683" max="7683" width="9.28515625" style="127" customWidth="1"/>
    <col min="7684" max="7684" width="10.5703125" style="127" bestFit="1" customWidth="1"/>
    <col min="7685" max="7685" width="12" style="127" customWidth="1"/>
    <col min="7686" max="7686" width="9.28515625" style="127" customWidth="1"/>
    <col min="7687" max="7687" width="15.7109375" style="127" bestFit="1" customWidth="1"/>
    <col min="7688" max="7688" width="9.7109375" style="127" customWidth="1"/>
    <col min="7689" max="7689" width="11" style="127" bestFit="1" customWidth="1"/>
    <col min="7690" max="7935" width="9.28515625" style="127" customWidth="1"/>
    <col min="7936" max="7936" width="4.28515625" style="127"/>
    <col min="7937" max="7937" width="4.28515625" style="127" customWidth="1"/>
    <col min="7938" max="7938" width="13.28515625" style="127" customWidth="1"/>
    <col min="7939" max="7939" width="9.28515625" style="127" customWidth="1"/>
    <col min="7940" max="7940" width="10.5703125" style="127" bestFit="1" customWidth="1"/>
    <col min="7941" max="7941" width="12" style="127" customWidth="1"/>
    <col min="7942" max="7942" width="9.28515625" style="127" customWidth="1"/>
    <col min="7943" max="7943" width="15.7109375" style="127" bestFit="1" customWidth="1"/>
    <col min="7944" max="7944" width="9.7109375" style="127" customWidth="1"/>
    <col min="7945" max="7945" width="11" style="127" bestFit="1" customWidth="1"/>
    <col min="7946" max="8191" width="9.28515625" style="127" customWidth="1"/>
    <col min="8192" max="8192" width="4.28515625" style="127"/>
    <col min="8193" max="8193" width="4.28515625" style="127" customWidth="1"/>
    <col min="8194" max="8194" width="13.28515625" style="127" customWidth="1"/>
    <col min="8195" max="8195" width="9.28515625" style="127" customWidth="1"/>
    <col min="8196" max="8196" width="10.5703125" style="127" bestFit="1" customWidth="1"/>
    <col min="8197" max="8197" width="12" style="127" customWidth="1"/>
    <col min="8198" max="8198" width="9.28515625" style="127" customWidth="1"/>
    <col min="8199" max="8199" width="15.7109375" style="127" bestFit="1" customWidth="1"/>
    <col min="8200" max="8200" width="9.7109375" style="127" customWidth="1"/>
    <col min="8201" max="8201" width="11" style="127" bestFit="1" customWidth="1"/>
    <col min="8202" max="8447" width="9.28515625" style="127" customWidth="1"/>
    <col min="8448" max="8448" width="4.28515625" style="127"/>
    <col min="8449" max="8449" width="4.28515625" style="127" customWidth="1"/>
    <col min="8450" max="8450" width="13.28515625" style="127" customWidth="1"/>
    <col min="8451" max="8451" width="9.28515625" style="127" customWidth="1"/>
    <col min="8452" max="8452" width="10.5703125" style="127" bestFit="1" customWidth="1"/>
    <col min="8453" max="8453" width="12" style="127" customWidth="1"/>
    <col min="8454" max="8454" width="9.28515625" style="127" customWidth="1"/>
    <col min="8455" max="8455" width="15.7109375" style="127" bestFit="1" customWidth="1"/>
    <col min="8456" max="8456" width="9.7109375" style="127" customWidth="1"/>
    <col min="8457" max="8457" width="11" style="127" bestFit="1" customWidth="1"/>
    <col min="8458" max="8703" width="9.28515625" style="127" customWidth="1"/>
    <col min="8704" max="8704" width="4.28515625" style="127"/>
    <col min="8705" max="8705" width="4.28515625" style="127" customWidth="1"/>
    <col min="8706" max="8706" width="13.28515625" style="127" customWidth="1"/>
    <col min="8707" max="8707" width="9.28515625" style="127" customWidth="1"/>
    <col min="8708" max="8708" width="10.5703125" style="127" bestFit="1" customWidth="1"/>
    <col min="8709" max="8709" width="12" style="127" customWidth="1"/>
    <col min="8710" max="8710" width="9.28515625" style="127" customWidth="1"/>
    <col min="8711" max="8711" width="15.7109375" style="127" bestFit="1" customWidth="1"/>
    <col min="8712" max="8712" width="9.7109375" style="127" customWidth="1"/>
    <col min="8713" max="8713" width="11" style="127" bestFit="1" customWidth="1"/>
    <col min="8714" max="8959" width="9.28515625" style="127" customWidth="1"/>
    <col min="8960" max="8960" width="4.28515625" style="127"/>
    <col min="8961" max="8961" width="4.28515625" style="127" customWidth="1"/>
    <col min="8962" max="8962" width="13.28515625" style="127" customWidth="1"/>
    <col min="8963" max="8963" width="9.28515625" style="127" customWidth="1"/>
    <col min="8964" max="8964" width="10.5703125" style="127" bestFit="1" customWidth="1"/>
    <col min="8965" max="8965" width="12" style="127" customWidth="1"/>
    <col min="8966" max="8966" width="9.28515625" style="127" customWidth="1"/>
    <col min="8967" max="8967" width="15.7109375" style="127" bestFit="1" customWidth="1"/>
    <col min="8968" max="8968" width="9.7109375" style="127" customWidth="1"/>
    <col min="8969" max="8969" width="11" style="127" bestFit="1" customWidth="1"/>
    <col min="8970" max="9215" width="9.28515625" style="127" customWidth="1"/>
    <col min="9216" max="9216" width="4.28515625" style="127"/>
    <col min="9217" max="9217" width="4.28515625" style="127" customWidth="1"/>
    <col min="9218" max="9218" width="13.28515625" style="127" customWidth="1"/>
    <col min="9219" max="9219" width="9.28515625" style="127" customWidth="1"/>
    <col min="9220" max="9220" width="10.5703125" style="127" bestFit="1" customWidth="1"/>
    <col min="9221" max="9221" width="12" style="127" customWidth="1"/>
    <col min="9222" max="9222" width="9.28515625" style="127" customWidth="1"/>
    <col min="9223" max="9223" width="15.7109375" style="127" bestFit="1" customWidth="1"/>
    <col min="9224" max="9224" width="9.7109375" style="127" customWidth="1"/>
    <col min="9225" max="9225" width="11" style="127" bestFit="1" customWidth="1"/>
    <col min="9226" max="9471" width="9.28515625" style="127" customWidth="1"/>
    <col min="9472" max="9472" width="4.28515625" style="127"/>
    <col min="9473" max="9473" width="4.28515625" style="127" customWidth="1"/>
    <col min="9474" max="9474" width="13.28515625" style="127" customWidth="1"/>
    <col min="9475" max="9475" width="9.28515625" style="127" customWidth="1"/>
    <col min="9476" max="9476" width="10.5703125" style="127" bestFit="1" customWidth="1"/>
    <col min="9477" max="9477" width="12" style="127" customWidth="1"/>
    <col min="9478" max="9478" width="9.28515625" style="127" customWidth="1"/>
    <col min="9479" max="9479" width="15.7109375" style="127" bestFit="1" customWidth="1"/>
    <col min="9480" max="9480" width="9.7109375" style="127" customWidth="1"/>
    <col min="9481" max="9481" width="11" style="127" bestFit="1" customWidth="1"/>
    <col min="9482" max="9727" width="9.28515625" style="127" customWidth="1"/>
    <col min="9728" max="9728" width="4.28515625" style="127"/>
    <col min="9729" max="9729" width="4.28515625" style="127" customWidth="1"/>
    <col min="9730" max="9730" width="13.28515625" style="127" customWidth="1"/>
    <col min="9731" max="9731" width="9.28515625" style="127" customWidth="1"/>
    <col min="9732" max="9732" width="10.5703125" style="127" bestFit="1" customWidth="1"/>
    <col min="9733" max="9733" width="12" style="127" customWidth="1"/>
    <col min="9734" max="9734" width="9.28515625" style="127" customWidth="1"/>
    <col min="9735" max="9735" width="15.7109375" style="127" bestFit="1" customWidth="1"/>
    <col min="9736" max="9736" width="9.7109375" style="127" customWidth="1"/>
    <col min="9737" max="9737" width="11" style="127" bestFit="1" customWidth="1"/>
    <col min="9738" max="9983" width="9.28515625" style="127" customWidth="1"/>
    <col min="9984" max="9984" width="4.28515625" style="127"/>
    <col min="9985" max="9985" width="4.28515625" style="127" customWidth="1"/>
    <col min="9986" max="9986" width="13.28515625" style="127" customWidth="1"/>
    <col min="9987" max="9987" width="9.28515625" style="127" customWidth="1"/>
    <col min="9988" max="9988" width="10.5703125" style="127" bestFit="1" customWidth="1"/>
    <col min="9989" max="9989" width="12" style="127" customWidth="1"/>
    <col min="9990" max="9990" width="9.28515625" style="127" customWidth="1"/>
    <col min="9991" max="9991" width="15.7109375" style="127" bestFit="1" customWidth="1"/>
    <col min="9992" max="9992" width="9.7109375" style="127" customWidth="1"/>
    <col min="9993" max="9993" width="11" style="127" bestFit="1" customWidth="1"/>
    <col min="9994" max="10239" width="9.28515625" style="127" customWidth="1"/>
    <col min="10240" max="10240" width="4.28515625" style="127"/>
    <col min="10241" max="10241" width="4.28515625" style="127" customWidth="1"/>
    <col min="10242" max="10242" width="13.28515625" style="127" customWidth="1"/>
    <col min="10243" max="10243" width="9.28515625" style="127" customWidth="1"/>
    <col min="10244" max="10244" width="10.5703125" style="127" bestFit="1" customWidth="1"/>
    <col min="10245" max="10245" width="12" style="127" customWidth="1"/>
    <col min="10246" max="10246" width="9.28515625" style="127" customWidth="1"/>
    <col min="10247" max="10247" width="15.7109375" style="127" bestFit="1" customWidth="1"/>
    <col min="10248" max="10248" width="9.7109375" style="127" customWidth="1"/>
    <col min="10249" max="10249" width="11" style="127" bestFit="1" customWidth="1"/>
    <col min="10250" max="10495" width="9.28515625" style="127" customWidth="1"/>
    <col min="10496" max="10496" width="4.28515625" style="127"/>
    <col min="10497" max="10497" width="4.28515625" style="127" customWidth="1"/>
    <col min="10498" max="10498" width="13.28515625" style="127" customWidth="1"/>
    <col min="10499" max="10499" width="9.28515625" style="127" customWidth="1"/>
    <col min="10500" max="10500" width="10.5703125" style="127" bestFit="1" customWidth="1"/>
    <col min="10501" max="10501" width="12" style="127" customWidth="1"/>
    <col min="10502" max="10502" width="9.28515625" style="127" customWidth="1"/>
    <col min="10503" max="10503" width="15.7109375" style="127" bestFit="1" customWidth="1"/>
    <col min="10504" max="10504" width="9.7109375" style="127" customWidth="1"/>
    <col min="10505" max="10505" width="11" style="127" bestFit="1" customWidth="1"/>
    <col min="10506" max="10751" width="9.28515625" style="127" customWidth="1"/>
    <col min="10752" max="10752" width="4.28515625" style="127"/>
    <col min="10753" max="10753" width="4.28515625" style="127" customWidth="1"/>
    <col min="10754" max="10754" width="13.28515625" style="127" customWidth="1"/>
    <col min="10755" max="10755" width="9.28515625" style="127" customWidth="1"/>
    <col min="10756" max="10756" width="10.5703125" style="127" bestFit="1" customWidth="1"/>
    <col min="10757" max="10757" width="12" style="127" customWidth="1"/>
    <col min="10758" max="10758" width="9.28515625" style="127" customWidth="1"/>
    <col min="10759" max="10759" width="15.7109375" style="127" bestFit="1" customWidth="1"/>
    <col min="10760" max="10760" width="9.7109375" style="127" customWidth="1"/>
    <col min="10761" max="10761" width="11" style="127" bestFit="1" customWidth="1"/>
    <col min="10762" max="11007" width="9.28515625" style="127" customWidth="1"/>
    <col min="11008" max="11008" width="4.28515625" style="127"/>
    <col min="11009" max="11009" width="4.28515625" style="127" customWidth="1"/>
    <col min="11010" max="11010" width="13.28515625" style="127" customWidth="1"/>
    <col min="11011" max="11011" width="9.28515625" style="127" customWidth="1"/>
    <col min="11012" max="11012" width="10.5703125" style="127" bestFit="1" customWidth="1"/>
    <col min="11013" max="11013" width="12" style="127" customWidth="1"/>
    <col min="11014" max="11014" width="9.28515625" style="127" customWidth="1"/>
    <col min="11015" max="11015" width="15.7109375" style="127" bestFit="1" customWidth="1"/>
    <col min="11016" max="11016" width="9.7109375" style="127" customWidth="1"/>
    <col min="11017" max="11017" width="11" style="127" bestFit="1" customWidth="1"/>
    <col min="11018" max="11263" width="9.28515625" style="127" customWidth="1"/>
    <col min="11264" max="11264" width="4.28515625" style="127"/>
    <col min="11265" max="11265" width="4.28515625" style="127" customWidth="1"/>
    <col min="11266" max="11266" width="13.28515625" style="127" customWidth="1"/>
    <col min="11267" max="11267" width="9.28515625" style="127" customWidth="1"/>
    <col min="11268" max="11268" width="10.5703125" style="127" bestFit="1" customWidth="1"/>
    <col min="11269" max="11269" width="12" style="127" customWidth="1"/>
    <col min="11270" max="11270" width="9.28515625" style="127" customWidth="1"/>
    <col min="11271" max="11271" width="15.7109375" style="127" bestFit="1" customWidth="1"/>
    <col min="11272" max="11272" width="9.7109375" style="127" customWidth="1"/>
    <col min="11273" max="11273" width="11" style="127" bestFit="1" customWidth="1"/>
    <col min="11274" max="11519" width="9.28515625" style="127" customWidth="1"/>
    <col min="11520" max="11520" width="4.28515625" style="127"/>
    <col min="11521" max="11521" width="4.28515625" style="127" customWidth="1"/>
    <col min="11522" max="11522" width="13.28515625" style="127" customWidth="1"/>
    <col min="11523" max="11523" width="9.28515625" style="127" customWidth="1"/>
    <col min="11524" max="11524" width="10.5703125" style="127" bestFit="1" customWidth="1"/>
    <col min="11525" max="11525" width="12" style="127" customWidth="1"/>
    <col min="11526" max="11526" width="9.28515625" style="127" customWidth="1"/>
    <col min="11527" max="11527" width="15.7109375" style="127" bestFit="1" customWidth="1"/>
    <col min="11528" max="11528" width="9.7109375" style="127" customWidth="1"/>
    <col min="11529" max="11529" width="11" style="127" bestFit="1" customWidth="1"/>
    <col min="11530" max="11775" width="9.28515625" style="127" customWidth="1"/>
    <col min="11776" max="11776" width="4.28515625" style="127"/>
    <col min="11777" max="11777" width="4.28515625" style="127" customWidth="1"/>
    <col min="11778" max="11778" width="13.28515625" style="127" customWidth="1"/>
    <col min="11779" max="11779" width="9.28515625" style="127" customWidth="1"/>
    <col min="11780" max="11780" width="10.5703125" style="127" bestFit="1" customWidth="1"/>
    <col min="11781" max="11781" width="12" style="127" customWidth="1"/>
    <col min="11782" max="11782" width="9.28515625" style="127" customWidth="1"/>
    <col min="11783" max="11783" width="15.7109375" style="127" bestFit="1" customWidth="1"/>
    <col min="11784" max="11784" width="9.7109375" style="127" customWidth="1"/>
    <col min="11785" max="11785" width="11" style="127" bestFit="1" customWidth="1"/>
    <col min="11786" max="12031" width="9.28515625" style="127" customWidth="1"/>
    <col min="12032" max="12032" width="4.28515625" style="127"/>
    <col min="12033" max="12033" width="4.28515625" style="127" customWidth="1"/>
    <col min="12034" max="12034" width="13.28515625" style="127" customWidth="1"/>
    <col min="12035" max="12035" width="9.28515625" style="127" customWidth="1"/>
    <col min="12036" max="12036" width="10.5703125" style="127" bestFit="1" customWidth="1"/>
    <col min="12037" max="12037" width="12" style="127" customWidth="1"/>
    <col min="12038" max="12038" width="9.28515625" style="127" customWidth="1"/>
    <col min="12039" max="12039" width="15.7109375" style="127" bestFit="1" customWidth="1"/>
    <col min="12040" max="12040" width="9.7109375" style="127" customWidth="1"/>
    <col min="12041" max="12041" width="11" style="127" bestFit="1" customWidth="1"/>
    <col min="12042" max="12287" width="9.28515625" style="127" customWidth="1"/>
    <col min="12288" max="12288" width="4.28515625" style="127"/>
    <col min="12289" max="12289" width="4.28515625" style="127" customWidth="1"/>
    <col min="12290" max="12290" width="13.28515625" style="127" customWidth="1"/>
    <col min="12291" max="12291" width="9.28515625" style="127" customWidth="1"/>
    <col min="12292" max="12292" width="10.5703125" style="127" bestFit="1" customWidth="1"/>
    <col min="12293" max="12293" width="12" style="127" customWidth="1"/>
    <col min="12294" max="12294" width="9.28515625" style="127" customWidth="1"/>
    <col min="12295" max="12295" width="15.7109375" style="127" bestFit="1" customWidth="1"/>
    <col min="12296" max="12296" width="9.7109375" style="127" customWidth="1"/>
    <col min="12297" max="12297" width="11" style="127" bestFit="1" customWidth="1"/>
    <col min="12298" max="12543" width="9.28515625" style="127" customWidth="1"/>
    <col min="12544" max="12544" width="4.28515625" style="127"/>
    <col min="12545" max="12545" width="4.28515625" style="127" customWidth="1"/>
    <col min="12546" max="12546" width="13.28515625" style="127" customWidth="1"/>
    <col min="12547" max="12547" width="9.28515625" style="127" customWidth="1"/>
    <col min="12548" max="12548" width="10.5703125" style="127" bestFit="1" customWidth="1"/>
    <col min="12549" max="12549" width="12" style="127" customWidth="1"/>
    <col min="12550" max="12550" width="9.28515625" style="127" customWidth="1"/>
    <col min="12551" max="12551" width="15.7109375" style="127" bestFit="1" customWidth="1"/>
    <col min="12552" max="12552" width="9.7109375" style="127" customWidth="1"/>
    <col min="12553" max="12553" width="11" style="127" bestFit="1" customWidth="1"/>
    <col min="12554" max="12799" width="9.28515625" style="127" customWidth="1"/>
    <col min="12800" max="12800" width="4.28515625" style="127"/>
    <col min="12801" max="12801" width="4.28515625" style="127" customWidth="1"/>
    <col min="12802" max="12802" width="13.28515625" style="127" customWidth="1"/>
    <col min="12803" max="12803" width="9.28515625" style="127" customWidth="1"/>
    <col min="12804" max="12804" width="10.5703125" style="127" bestFit="1" customWidth="1"/>
    <col min="12805" max="12805" width="12" style="127" customWidth="1"/>
    <col min="12806" max="12806" width="9.28515625" style="127" customWidth="1"/>
    <col min="12807" max="12807" width="15.7109375" style="127" bestFit="1" customWidth="1"/>
    <col min="12808" max="12808" width="9.7109375" style="127" customWidth="1"/>
    <col min="12809" max="12809" width="11" style="127" bestFit="1" customWidth="1"/>
    <col min="12810" max="13055" width="9.28515625" style="127" customWidth="1"/>
    <col min="13056" max="13056" width="4.28515625" style="127"/>
    <col min="13057" max="13057" width="4.28515625" style="127" customWidth="1"/>
    <col min="13058" max="13058" width="13.28515625" style="127" customWidth="1"/>
    <col min="13059" max="13059" width="9.28515625" style="127" customWidth="1"/>
    <col min="13060" max="13060" width="10.5703125" style="127" bestFit="1" customWidth="1"/>
    <col min="13061" max="13061" width="12" style="127" customWidth="1"/>
    <col min="13062" max="13062" width="9.28515625" style="127" customWidth="1"/>
    <col min="13063" max="13063" width="15.7109375" style="127" bestFit="1" customWidth="1"/>
    <col min="13064" max="13064" width="9.7109375" style="127" customWidth="1"/>
    <col min="13065" max="13065" width="11" style="127" bestFit="1" customWidth="1"/>
    <col min="13066" max="13311" width="9.28515625" style="127" customWidth="1"/>
    <col min="13312" max="13312" width="4.28515625" style="127"/>
    <col min="13313" max="13313" width="4.28515625" style="127" customWidth="1"/>
    <col min="13314" max="13314" width="13.28515625" style="127" customWidth="1"/>
    <col min="13315" max="13315" width="9.28515625" style="127" customWidth="1"/>
    <col min="13316" max="13316" width="10.5703125" style="127" bestFit="1" customWidth="1"/>
    <col min="13317" max="13317" width="12" style="127" customWidth="1"/>
    <col min="13318" max="13318" width="9.28515625" style="127" customWidth="1"/>
    <col min="13319" max="13319" width="15.7109375" style="127" bestFit="1" customWidth="1"/>
    <col min="13320" max="13320" width="9.7109375" style="127" customWidth="1"/>
    <col min="13321" max="13321" width="11" style="127" bestFit="1" customWidth="1"/>
    <col min="13322" max="13567" width="9.28515625" style="127" customWidth="1"/>
    <col min="13568" max="13568" width="4.28515625" style="127"/>
    <col min="13569" max="13569" width="4.28515625" style="127" customWidth="1"/>
    <col min="13570" max="13570" width="13.28515625" style="127" customWidth="1"/>
    <col min="13571" max="13571" width="9.28515625" style="127" customWidth="1"/>
    <col min="13572" max="13572" width="10.5703125" style="127" bestFit="1" customWidth="1"/>
    <col min="13573" max="13573" width="12" style="127" customWidth="1"/>
    <col min="13574" max="13574" width="9.28515625" style="127" customWidth="1"/>
    <col min="13575" max="13575" width="15.7109375" style="127" bestFit="1" customWidth="1"/>
    <col min="13576" max="13576" width="9.7109375" style="127" customWidth="1"/>
    <col min="13577" max="13577" width="11" style="127" bestFit="1" customWidth="1"/>
    <col min="13578" max="13823" width="9.28515625" style="127" customWidth="1"/>
    <col min="13824" max="13824" width="4.28515625" style="127"/>
    <col min="13825" max="13825" width="4.28515625" style="127" customWidth="1"/>
    <col min="13826" max="13826" width="13.28515625" style="127" customWidth="1"/>
    <col min="13827" max="13827" width="9.28515625" style="127" customWidth="1"/>
    <col min="13828" max="13828" width="10.5703125" style="127" bestFit="1" customWidth="1"/>
    <col min="13829" max="13829" width="12" style="127" customWidth="1"/>
    <col min="13830" max="13830" width="9.28515625" style="127" customWidth="1"/>
    <col min="13831" max="13831" width="15.7109375" style="127" bestFit="1" customWidth="1"/>
    <col min="13832" max="13832" width="9.7109375" style="127" customWidth="1"/>
    <col min="13833" max="13833" width="11" style="127" bestFit="1" customWidth="1"/>
    <col min="13834" max="14079" width="9.28515625" style="127" customWidth="1"/>
    <col min="14080" max="14080" width="4.28515625" style="127"/>
    <col min="14081" max="14081" width="4.28515625" style="127" customWidth="1"/>
    <col min="14082" max="14082" width="13.28515625" style="127" customWidth="1"/>
    <col min="14083" max="14083" width="9.28515625" style="127" customWidth="1"/>
    <col min="14084" max="14084" width="10.5703125" style="127" bestFit="1" customWidth="1"/>
    <col min="14085" max="14085" width="12" style="127" customWidth="1"/>
    <col min="14086" max="14086" width="9.28515625" style="127" customWidth="1"/>
    <col min="14087" max="14087" width="15.7109375" style="127" bestFit="1" customWidth="1"/>
    <col min="14088" max="14088" width="9.7109375" style="127" customWidth="1"/>
    <col min="14089" max="14089" width="11" style="127" bestFit="1" customWidth="1"/>
    <col min="14090" max="14335" width="9.28515625" style="127" customWidth="1"/>
    <col min="14336" max="14336" width="4.28515625" style="127"/>
    <col min="14337" max="14337" width="4.28515625" style="127" customWidth="1"/>
    <col min="14338" max="14338" width="13.28515625" style="127" customWidth="1"/>
    <col min="14339" max="14339" width="9.28515625" style="127" customWidth="1"/>
    <col min="14340" max="14340" width="10.5703125" style="127" bestFit="1" customWidth="1"/>
    <col min="14341" max="14341" width="12" style="127" customWidth="1"/>
    <col min="14342" max="14342" width="9.28515625" style="127" customWidth="1"/>
    <col min="14343" max="14343" width="15.7109375" style="127" bestFit="1" customWidth="1"/>
    <col min="14344" max="14344" width="9.7109375" style="127" customWidth="1"/>
    <col min="14345" max="14345" width="11" style="127" bestFit="1" customWidth="1"/>
    <col min="14346" max="14591" width="9.28515625" style="127" customWidth="1"/>
    <col min="14592" max="14592" width="4.28515625" style="127"/>
    <col min="14593" max="14593" width="4.28515625" style="127" customWidth="1"/>
    <col min="14594" max="14594" width="13.28515625" style="127" customWidth="1"/>
    <col min="14595" max="14595" width="9.28515625" style="127" customWidth="1"/>
    <col min="14596" max="14596" width="10.5703125" style="127" bestFit="1" customWidth="1"/>
    <col min="14597" max="14597" width="12" style="127" customWidth="1"/>
    <col min="14598" max="14598" width="9.28515625" style="127" customWidth="1"/>
    <col min="14599" max="14599" width="15.7109375" style="127" bestFit="1" customWidth="1"/>
    <col min="14600" max="14600" width="9.7109375" style="127" customWidth="1"/>
    <col min="14601" max="14601" width="11" style="127" bestFit="1" customWidth="1"/>
    <col min="14602" max="14847" width="9.28515625" style="127" customWidth="1"/>
    <col min="14848" max="14848" width="4.28515625" style="127"/>
    <col min="14849" max="14849" width="4.28515625" style="127" customWidth="1"/>
    <col min="14850" max="14850" width="13.28515625" style="127" customWidth="1"/>
    <col min="14851" max="14851" width="9.28515625" style="127" customWidth="1"/>
    <col min="14852" max="14852" width="10.5703125" style="127" bestFit="1" customWidth="1"/>
    <col min="14853" max="14853" width="12" style="127" customWidth="1"/>
    <col min="14854" max="14854" width="9.28515625" style="127" customWidth="1"/>
    <col min="14855" max="14855" width="15.7109375" style="127" bestFit="1" customWidth="1"/>
    <col min="14856" max="14856" width="9.7109375" style="127" customWidth="1"/>
    <col min="14857" max="14857" width="11" style="127" bestFit="1" customWidth="1"/>
    <col min="14858" max="15103" width="9.28515625" style="127" customWidth="1"/>
    <col min="15104" max="15104" width="4.28515625" style="127"/>
    <col min="15105" max="15105" width="4.28515625" style="127" customWidth="1"/>
    <col min="15106" max="15106" width="13.28515625" style="127" customWidth="1"/>
    <col min="15107" max="15107" width="9.28515625" style="127" customWidth="1"/>
    <col min="15108" max="15108" width="10.5703125" style="127" bestFit="1" customWidth="1"/>
    <col min="15109" max="15109" width="12" style="127" customWidth="1"/>
    <col min="15110" max="15110" width="9.28515625" style="127" customWidth="1"/>
    <col min="15111" max="15111" width="15.7109375" style="127" bestFit="1" customWidth="1"/>
    <col min="15112" max="15112" width="9.7109375" style="127" customWidth="1"/>
    <col min="15113" max="15113" width="11" style="127" bestFit="1" customWidth="1"/>
    <col min="15114" max="15359" width="9.28515625" style="127" customWidth="1"/>
    <col min="15360" max="15360" width="4.28515625" style="127"/>
    <col min="15361" max="15361" width="4.28515625" style="127" customWidth="1"/>
    <col min="15362" max="15362" width="13.28515625" style="127" customWidth="1"/>
    <col min="15363" max="15363" width="9.28515625" style="127" customWidth="1"/>
    <col min="15364" max="15364" width="10.5703125" style="127" bestFit="1" customWidth="1"/>
    <col min="15365" max="15365" width="12" style="127" customWidth="1"/>
    <col min="15366" max="15366" width="9.28515625" style="127" customWidth="1"/>
    <col min="15367" max="15367" width="15.7109375" style="127" bestFit="1" customWidth="1"/>
    <col min="15368" max="15368" width="9.7109375" style="127" customWidth="1"/>
    <col min="15369" max="15369" width="11" style="127" bestFit="1" customWidth="1"/>
    <col min="15370" max="15615" width="9.28515625" style="127" customWidth="1"/>
    <col min="15616" max="15616" width="4.28515625" style="127"/>
    <col min="15617" max="15617" width="4.28515625" style="127" customWidth="1"/>
    <col min="15618" max="15618" width="13.28515625" style="127" customWidth="1"/>
    <col min="15619" max="15619" width="9.28515625" style="127" customWidth="1"/>
    <col min="15620" max="15620" width="10.5703125" style="127" bestFit="1" customWidth="1"/>
    <col min="15621" max="15621" width="12" style="127" customWidth="1"/>
    <col min="15622" max="15622" width="9.28515625" style="127" customWidth="1"/>
    <col min="15623" max="15623" width="15.7109375" style="127" bestFit="1" customWidth="1"/>
    <col min="15624" max="15624" width="9.7109375" style="127" customWidth="1"/>
    <col min="15625" max="15625" width="11" style="127" bestFit="1" customWidth="1"/>
    <col min="15626" max="15871" width="9.28515625" style="127" customWidth="1"/>
    <col min="15872" max="15872" width="4.28515625" style="127"/>
    <col min="15873" max="15873" width="4.28515625" style="127" customWidth="1"/>
    <col min="15874" max="15874" width="13.28515625" style="127" customWidth="1"/>
    <col min="15875" max="15875" width="9.28515625" style="127" customWidth="1"/>
    <col min="15876" max="15876" width="10.5703125" style="127" bestFit="1" customWidth="1"/>
    <col min="15877" max="15877" width="12" style="127" customWidth="1"/>
    <col min="15878" max="15878" width="9.28515625" style="127" customWidth="1"/>
    <col min="15879" max="15879" width="15.7109375" style="127" bestFit="1" customWidth="1"/>
    <col min="15880" max="15880" width="9.7109375" style="127" customWidth="1"/>
    <col min="15881" max="15881" width="11" style="127" bestFit="1" customWidth="1"/>
    <col min="15882" max="16127" width="9.28515625" style="127" customWidth="1"/>
    <col min="16128" max="16128" width="4.28515625" style="127"/>
    <col min="16129" max="16129" width="4.28515625" style="127" customWidth="1"/>
    <col min="16130" max="16130" width="13.28515625" style="127" customWidth="1"/>
    <col min="16131" max="16131" width="9.28515625" style="127" customWidth="1"/>
    <col min="16132" max="16132" width="10.5703125" style="127" bestFit="1" customWidth="1"/>
    <col min="16133" max="16133" width="12" style="127" customWidth="1"/>
    <col min="16134" max="16134" width="9.28515625" style="127" customWidth="1"/>
    <col min="16135" max="16135" width="15.7109375" style="127" bestFit="1" customWidth="1"/>
    <col min="16136" max="16136" width="9.7109375" style="127" customWidth="1"/>
    <col min="16137" max="16137" width="11" style="127" bestFit="1" customWidth="1"/>
    <col min="16138" max="16383" width="9.28515625" style="127" customWidth="1"/>
    <col min="16384" max="16384" width="4.28515625" style="127"/>
  </cols>
  <sheetData>
    <row r="1" spans="1:11">
      <c r="A1" s="126"/>
    </row>
    <row r="4" spans="1:11" ht="18" customHeight="1">
      <c r="B4"/>
      <c r="C4"/>
      <c r="D4"/>
      <c r="E4"/>
    </row>
    <row r="5" spans="1:11" ht="21.75" customHeight="1" thickBot="1">
      <c r="B5"/>
      <c r="C5"/>
      <c r="D5"/>
      <c r="E5"/>
      <c r="J5" s="128" t="s">
        <v>326</v>
      </c>
    </row>
    <row r="6" spans="1:11" ht="27" thickBot="1">
      <c r="B6" s="129" t="s">
        <v>39</v>
      </c>
      <c r="C6" s="130" t="s">
        <v>327</v>
      </c>
      <c r="D6" s="130" t="s">
        <v>328</v>
      </c>
      <c r="E6" s="131" t="s">
        <v>329</v>
      </c>
      <c r="I6" s="132" t="s">
        <v>39</v>
      </c>
      <c r="J6" s="134" t="s">
        <v>328</v>
      </c>
      <c r="K6" s="133" t="s">
        <v>329</v>
      </c>
    </row>
    <row r="7" spans="1:11" ht="20.25">
      <c r="B7" s="135" t="s">
        <v>330</v>
      </c>
      <c r="C7" s="136">
        <v>35</v>
      </c>
      <c r="D7" s="209"/>
      <c r="E7" s="209"/>
      <c r="I7" s="137" t="s">
        <v>330</v>
      </c>
      <c r="J7" s="139">
        <v>8.6999999999999993</v>
      </c>
      <c r="K7" s="138" t="s">
        <v>270</v>
      </c>
    </row>
    <row r="8" spans="1:11" ht="20.25">
      <c r="B8" s="135" t="s">
        <v>330</v>
      </c>
      <c r="C8" s="136">
        <v>28</v>
      </c>
      <c r="D8" s="209"/>
      <c r="E8" s="209"/>
      <c r="I8" s="140" t="s">
        <v>331</v>
      </c>
      <c r="J8" s="142">
        <v>14.8</v>
      </c>
      <c r="K8" s="141" t="s">
        <v>271</v>
      </c>
    </row>
    <row r="9" spans="1:11" ht="20.25">
      <c r="B9" s="135" t="s">
        <v>330</v>
      </c>
      <c r="C9" s="136">
        <v>28</v>
      </c>
      <c r="D9" s="209"/>
      <c r="E9" s="209"/>
      <c r="I9" s="140" t="s">
        <v>332</v>
      </c>
      <c r="J9" s="142">
        <v>9.5</v>
      </c>
      <c r="K9" s="141" t="s">
        <v>333</v>
      </c>
    </row>
    <row r="10" spans="1:11" ht="20.25">
      <c r="B10" s="135" t="s">
        <v>330</v>
      </c>
      <c r="C10" s="136">
        <v>28</v>
      </c>
      <c r="D10" s="209"/>
      <c r="E10" s="209"/>
      <c r="I10" s="140" t="s">
        <v>334</v>
      </c>
      <c r="J10" s="142">
        <v>11.3</v>
      </c>
      <c r="K10" s="141" t="s">
        <v>335</v>
      </c>
    </row>
    <row r="11" spans="1:11" ht="21" thickBot="1">
      <c r="B11" s="135" t="s">
        <v>330</v>
      </c>
      <c r="C11" s="136">
        <v>34</v>
      </c>
      <c r="D11" s="209"/>
      <c r="E11" s="209"/>
      <c r="I11" s="143" t="s">
        <v>336</v>
      </c>
      <c r="J11" s="145">
        <v>12.75</v>
      </c>
      <c r="K11" s="144" t="s">
        <v>337</v>
      </c>
    </row>
    <row r="12" spans="1:11" ht="20.25">
      <c r="B12" s="135" t="s">
        <v>512</v>
      </c>
      <c r="C12" s="136">
        <v>35</v>
      </c>
      <c r="D12" s="209"/>
      <c r="E12" s="209"/>
    </row>
    <row r="13" spans="1:11" ht="20.25">
      <c r="B13" s="135" t="s">
        <v>330</v>
      </c>
      <c r="C13" s="136">
        <v>34</v>
      </c>
      <c r="D13" s="209"/>
      <c r="E13" s="209"/>
    </row>
    <row r="14" spans="1:11" ht="20.25">
      <c r="B14" s="135" t="s">
        <v>331</v>
      </c>
      <c r="C14" s="136">
        <v>23</v>
      </c>
      <c r="D14" s="209"/>
      <c r="E14" s="209"/>
    </row>
    <row r="15" spans="1:11" ht="19.149999999999999" customHeight="1">
      <c r="B15" s="135" t="s">
        <v>331</v>
      </c>
      <c r="C15" s="136">
        <v>34</v>
      </c>
      <c r="D15" s="209"/>
      <c r="E15" s="209"/>
      <c r="H15" s="146"/>
    </row>
    <row r="16" spans="1:11" ht="20.25">
      <c r="B16" s="135" t="s">
        <v>331</v>
      </c>
      <c r="C16" s="136">
        <v>34</v>
      </c>
      <c r="D16" s="209"/>
      <c r="E16" s="209"/>
      <c r="H16" s="146"/>
    </row>
    <row r="17" spans="2:8" ht="20.25">
      <c r="B17" s="135" t="s">
        <v>331</v>
      </c>
      <c r="C17" s="136">
        <v>30</v>
      </c>
      <c r="D17" s="209"/>
      <c r="E17" s="209"/>
      <c r="H17" s="146"/>
    </row>
    <row r="18" spans="2:8" ht="20.25">
      <c r="B18" s="135" t="s">
        <v>331</v>
      </c>
      <c r="C18" s="136">
        <v>34</v>
      </c>
      <c r="D18" s="209"/>
      <c r="E18" s="209"/>
    </row>
    <row r="19" spans="2:8" ht="20.25">
      <c r="B19" s="135" t="s">
        <v>331</v>
      </c>
      <c r="C19" s="136">
        <v>34</v>
      </c>
      <c r="D19" s="209"/>
      <c r="E19" s="209"/>
    </row>
    <row r="20" spans="2:8" ht="20.25">
      <c r="B20" s="135" t="s">
        <v>331</v>
      </c>
      <c r="C20" s="136">
        <v>34</v>
      </c>
      <c r="D20" s="209"/>
      <c r="E20" s="209"/>
    </row>
    <row r="21" spans="2:8" ht="20.25">
      <c r="B21" s="135" t="s">
        <v>331</v>
      </c>
      <c r="C21" s="136">
        <v>34</v>
      </c>
      <c r="D21" s="209"/>
      <c r="E21" s="209"/>
    </row>
    <row r="22" spans="2:8" ht="20.25">
      <c r="B22" s="135" t="s">
        <v>331</v>
      </c>
      <c r="C22" s="136">
        <v>34</v>
      </c>
      <c r="D22" s="209"/>
      <c r="E22" s="209"/>
    </row>
    <row r="23" spans="2:8" ht="20.25">
      <c r="B23" s="135" t="s">
        <v>331</v>
      </c>
      <c r="C23" s="136">
        <v>34</v>
      </c>
      <c r="D23" s="209"/>
      <c r="E23" s="209"/>
    </row>
    <row r="24" spans="2:8" ht="20.25">
      <c r="B24" s="135" t="s">
        <v>331</v>
      </c>
      <c r="C24" s="136">
        <v>34</v>
      </c>
      <c r="D24" s="209"/>
      <c r="E24" s="209"/>
    </row>
    <row r="25" spans="2:8" ht="20.25">
      <c r="B25" s="135" t="s">
        <v>331</v>
      </c>
      <c r="C25" s="136">
        <v>34</v>
      </c>
      <c r="D25" s="209"/>
      <c r="E25" s="209"/>
    </row>
    <row r="26" spans="2:8" ht="20.25">
      <c r="B26" s="135" t="s">
        <v>331</v>
      </c>
      <c r="C26" s="136">
        <v>30</v>
      </c>
      <c r="D26" s="209"/>
      <c r="E26" s="209"/>
    </row>
    <row r="27" spans="2:8" ht="20.25">
      <c r="B27" s="135" t="s">
        <v>331</v>
      </c>
      <c r="C27" s="136">
        <v>34</v>
      </c>
      <c r="D27" s="209"/>
      <c r="E27" s="209"/>
    </row>
    <row r="28" spans="2:8" ht="20.25">
      <c r="B28" s="135" t="s">
        <v>331</v>
      </c>
      <c r="C28" s="136">
        <v>34</v>
      </c>
      <c r="D28" s="209"/>
      <c r="E28" s="209"/>
    </row>
    <row r="29" spans="2:8" ht="20.25">
      <c r="B29" s="135" t="s">
        <v>334</v>
      </c>
      <c r="C29" s="136">
        <v>31</v>
      </c>
      <c r="D29" s="209"/>
      <c r="E29" s="209"/>
      <c r="H29" s="147"/>
    </row>
    <row r="30" spans="2:8" ht="20.25">
      <c r="B30" s="135" t="s">
        <v>334</v>
      </c>
      <c r="C30" s="136">
        <v>31</v>
      </c>
      <c r="D30" s="209"/>
      <c r="E30" s="209"/>
      <c r="H30" s="147"/>
    </row>
    <row r="31" spans="2:8" ht="20.25">
      <c r="B31" s="135" t="s">
        <v>334</v>
      </c>
      <c r="C31" s="136">
        <v>31</v>
      </c>
      <c r="D31" s="209"/>
      <c r="E31" s="209"/>
    </row>
    <row r="32" spans="2:8" ht="20.25">
      <c r="B32" s="135" t="s">
        <v>334</v>
      </c>
      <c r="C32" s="136">
        <v>31</v>
      </c>
      <c r="D32" s="209"/>
      <c r="E32" s="209"/>
    </row>
    <row r="33" spans="2:5" ht="20.25">
      <c r="B33" s="135" t="s">
        <v>334</v>
      </c>
      <c r="C33" s="136">
        <v>34</v>
      </c>
      <c r="D33" s="209"/>
      <c r="E33" s="209"/>
    </row>
    <row r="34" spans="2:5" ht="20.25">
      <c r="B34" s="135" t="s">
        <v>334</v>
      </c>
      <c r="C34" s="136">
        <v>23</v>
      </c>
      <c r="D34" s="209"/>
      <c r="E34" s="209"/>
    </row>
    <row r="35" spans="2:5" ht="20.25">
      <c r="B35" s="135" t="s">
        <v>334</v>
      </c>
      <c r="C35" s="136">
        <v>23</v>
      </c>
      <c r="D35" s="209"/>
      <c r="E35" s="209"/>
    </row>
    <row r="36" spans="2:5" ht="20.25">
      <c r="B36" s="135" t="s">
        <v>334</v>
      </c>
      <c r="C36" s="136">
        <v>35</v>
      </c>
      <c r="D36" s="209"/>
      <c r="E36" s="209"/>
    </row>
    <row r="37" spans="2:5" ht="20.25">
      <c r="B37" s="135" t="s">
        <v>334</v>
      </c>
      <c r="C37" s="136">
        <v>34</v>
      </c>
      <c r="D37" s="209"/>
      <c r="E37" s="209"/>
    </row>
    <row r="38" spans="2:5" ht="20.25">
      <c r="B38" s="135" t="s">
        <v>336</v>
      </c>
      <c r="C38" s="136">
        <v>34</v>
      </c>
      <c r="D38" s="209"/>
      <c r="E38" s="209"/>
    </row>
    <row r="39" spans="2:5" ht="20.25">
      <c r="B39" s="135" t="s">
        <v>336</v>
      </c>
      <c r="C39" s="136">
        <v>34</v>
      </c>
      <c r="D39" s="209"/>
      <c r="E39" s="209"/>
    </row>
    <row r="40" spans="2:5" ht="20.25">
      <c r="B40" s="135" t="s">
        <v>336</v>
      </c>
      <c r="C40" s="136">
        <v>34</v>
      </c>
      <c r="D40" s="209"/>
      <c r="E40" s="209"/>
    </row>
    <row r="41" spans="2:5" ht="20.25">
      <c r="B41" s="135" t="s">
        <v>336</v>
      </c>
      <c r="C41" s="136">
        <v>34</v>
      </c>
      <c r="D41" s="209"/>
      <c r="E41" s="209"/>
    </row>
    <row r="42" spans="2:5" ht="20.25">
      <c r="B42" s="135" t="s">
        <v>336</v>
      </c>
      <c r="C42" s="136">
        <v>34</v>
      </c>
      <c r="D42" s="209"/>
      <c r="E42" s="209"/>
    </row>
    <row r="43" spans="2:5" ht="20.25">
      <c r="B43" s="135" t="s">
        <v>336</v>
      </c>
      <c r="C43" s="136">
        <v>34</v>
      </c>
      <c r="D43" s="209"/>
      <c r="E43" s="209"/>
    </row>
    <row r="44" spans="2:5" ht="21" thickBot="1">
      <c r="B44" s="148" t="s">
        <v>336</v>
      </c>
      <c r="C44" s="149">
        <v>34</v>
      </c>
      <c r="D44" s="209"/>
      <c r="E44" s="209"/>
    </row>
  </sheetData>
  <customSheetViews>
    <customSheetView guid="{32169818-EA48-4D2C-804F-10AFEFD0B9B2}" scale="85">
      <pane xSplit="2" ySplit="6" topLeftCell="C7" activePane="bottomRight" state="frozen"/>
      <selection pane="bottomRight" activeCell="D7" sqref="D7"/>
      <pageMargins left="0.75" right="0.75" top="1" bottom="1" header="0.5" footer="0.5"/>
      <headerFooter alignWithMargins="0"/>
    </customSheetView>
  </customSheetViews>
  <pageMargins left="0.75" right="0.75" top="1" bottom="1" header="0.5" footer="0.5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2:H15"/>
  <sheetViews>
    <sheetView workbookViewId="0">
      <selection activeCell="G12" sqref="G12"/>
    </sheetView>
  </sheetViews>
  <sheetFormatPr defaultRowHeight="15"/>
  <cols>
    <col min="2" max="2" width="18.28515625" bestFit="1" customWidth="1"/>
    <col min="3" max="3" width="12.7109375" bestFit="1" customWidth="1"/>
    <col min="4" max="4" width="12.28515625" bestFit="1" customWidth="1"/>
    <col min="5" max="5" width="10" bestFit="1" customWidth="1"/>
    <col min="6" max="6" width="8.28515625" bestFit="1" customWidth="1"/>
    <col min="7" max="7" width="9.7109375" bestFit="1" customWidth="1"/>
    <col min="8" max="8" width="7.42578125" bestFit="1" customWidth="1"/>
  </cols>
  <sheetData>
    <row r="2" spans="2:8" ht="15.75">
      <c r="B2" s="150" t="s">
        <v>338</v>
      </c>
      <c r="C2" s="151" t="s">
        <v>339</v>
      </c>
      <c r="D2" s="151" t="s">
        <v>340</v>
      </c>
      <c r="E2" s="151" t="s">
        <v>341</v>
      </c>
      <c r="F2" s="151" t="s">
        <v>342</v>
      </c>
      <c r="G2" s="151" t="s">
        <v>343</v>
      </c>
      <c r="H2" s="152" t="s">
        <v>344</v>
      </c>
    </row>
    <row r="3" spans="2:8" ht="15.75">
      <c r="B3" s="153" t="s">
        <v>345</v>
      </c>
      <c r="C3" s="154">
        <v>1657</v>
      </c>
      <c r="D3" s="154">
        <v>739</v>
      </c>
      <c r="E3" s="154">
        <v>1370</v>
      </c>
      <c r="F3" s="154">
        <v>1776</v>
      </c>
      <c r="G3" s="154">
        <v>2299</v>
      </c>
      <c r="H3" s="155">
        <v>1176</v>
      </c>
    </row>
    <row r="4" spans="2:8" ht="15.75">
      <c r="B4" s="153" t="s">
        <v>346</v>
      </c>
      <c r="C4" s="154">
        <v>249</v>
      </c>
      <c r="D4" s="154">
        <v>1453</v>
      </c>
      <c r="E4" s="154">
        <v>569</v>
      </c>
      <c r="F4" s="154">
        <v>368</v>
      </c>
      <c r="G4" s="154">
        <v>891</v>
      </c>
      <c r="H4" s="155">
        <v>261</v>
      </c>
    </row>
    <row r="5" spans="2:8" ht="15.75">
      <c r="B5" s="153" t="s">
        <v>347</v>
      </c>
      <c r="C5" s="154">
        <v>363</v>
      </c>
      <c r="D5" s="154">
        <v>2039</v>
      </c>
      <c r="E5" s="154">
        <v>1085</v>
      </c>
      <c r="F5" s="154">
        <v>482</v>
      </c>
      <c r="G5" s="154">
        <v>305</v>
      </c>
      <c r="H5" s="155">
        <v>847</v>
      </c>
    </row>
    <row r="6" spans="2:8" ht="15.75">
      <c r="B6" s="153" t="s">
        <v>348</v>
      </c>
      <c r="C6" s="154">
        <v>2268</v>
      </c>
      <c r="D6" s="154">
        <v>566</v>
      </c>
      <c r="E6" s="154">
        <v>1900</v>
      </c>
      <c r="F6" s="154">
        <v>2387</v>
      </c>
      <c r="G6" s="154">
        <v>2910</v>
      </c>
      <c r="H6" s="155">
        <v>2049</v>
      </c>
    </row>
    <row r="7" spans="2:8" ht="15.75">
      <c r="B7" s="153" t="s">
        <v>349</v>
      </c>
      <c r="C7" s="154">
        <v>1491</v>
      </c>
      <c r="D7" s="154">
        <v>1516</v>
      </c>
      <c r="E7" s="154">
        <v>963</v>
      </c>
      <c r="F7" s="154">
        <v>1610</v>
      </c>
      <c r="G7" s="154">
        <v>2133</v>
      </c>
      <c r="H7" s="155">
        <v>1472</v>
      </c>
    </row>
    <row r="8" spans="2:8" ht="15.75">
      <c r="B8" s="156" t="s">
        <v>350</v>
      </c>
      <c r="C8" s="157">
        <v>2406</v>
      </c>
      <c r="D8" s="157">
        <v>704</v>
      </c>
      <c r="E8" s="157">
        <v>2038</v>
      </c>
      <c r="F8" s="157">
        <v>2525</v>
      </c>
      <c r="G8" s="157">
        <v>3048</v>
      </c>
      <c r="H8" s="158">
        <v>2187</v>
      </c>
    </row>
    <row r="11" spans="2:8">
      <c r="B11" t="s">
        <v>351</v>
      </c>
      <c r="D11" s="159" t="s">
        <v>346</v>
      </c>
      <c r="F11" s="160"/>
    </row>
    <row r="12" spans="2:8">
      <c r="F12" s="270"/>
    </row>
    <row r="13" spans="2:8">
      <c r="F13" s="271"/>
    </row>
    <row r="14" spans="2:8">
      <c r="F14" s="272"/>
    </row>
    <row r="15" spans="2:8">
      <c r="B15" t="s">
        <v>352</v>
      </c>
      <c r="D15" s="159" t="s">
        <v>340</v>
      </c>
      <c r="F15" s="160"/>
    </row>
  </sheetData>
  <customSheetViews>
    <customSheetView guid="{32169818-EA48-4D2C-804F-10AFEFD0B9B2}" state="hidden">
      <selection activeCell="G12" sqref="G12"/>
      <pageMargins left="0.7" right="0.7" top="0.75" bottom="0.75" header="0.3" footer="0.3"/>
    </customSheetView>
  </customSheetViews>
  <mergeCells count="1">
    <mergeCell ref="F12:F14"/>
  </mergeCells>
  <dataValidations count="2">
    <dataValidation type="list" allowBlank="1" showInputMessage="1" showErrorMessage="1" sqref="D15" xr:uid="{00000000-0002-0000-1200-000000000000}">
      <formula1>$H$4:$M$4</formula1>
    </dataValidation>
    <dataValidation type="list" allowBlank="1" showInputMessage="1" showErrorMessage="1" sqref="D11" xr:uid="{00000000-0002-0000-1200-000001000000}">
      <formula1>$G$5:$G$10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56"/>
  <sheetViews>
    <sheetView showGridLines="0" workbookViewId="0">
      <selection activeCell="M44" sqref="M44"/>
    </sheetView>
  </sheetViews>
  <sheetFormatPr defaultRowHeight="15"/>
  <cols>
    <col min="1" max="1" width="16.28515625" customWidth="1"/>
    <col min="2" max="2" width="12.28515625" customWidth="1"/>
    <col min="3" max="3" width="9.5703125" bestFit="1" customWidth="1"/>
  </cols>
  <sheetData>
    <row r="1" spans="1:5">
      <c r="A1" s="161" t="s">
        <v>39</v>
      </c>
      <c r="B1" s="161" t="s">
        <v>258</v>
      </c>
      <c r="C1" s="161" t="s">
        <v>259</v>
      </c>
      <c r="D1" s="161" t="s">
        <v>513</v>
      </c>
    </row>
    <row r="2" spans="1:5">
      <c r="A2" t="s">
        <v>252</v>
      </c>
      <c r="B2">
        <v>52</v>
      </c>
      <c r="C2">
        <v>48</v>
      </c>
      <c r="D2">
        <v>52</v>
      </c>
    </row>
    <row r="3" spans="1:5">
      <c r="A3" t="s">
        <v>253</v>
      </c>
      <c r="B3">
        <v>69</v>
      </c>
      <c r="C3">
        <v>60</v>
      </c>
      <c r="D3">
        <v>62</v>
      </c>
    </row>
    <row r="4" spans="1:5">
      <c r="A4" t="s">
        <v>254</v>
      </c>
      <c r="B4">
        <v>56</v>
      </c>
      <c r="C4">
        <v>56</v>
      </c>
      <c r="D4">
        <v>70</v>
      </c>
    </row>
    <row r="5" spans="1:5">
      <c r="A5" t="s">
        <v>255</v>
      </c>
      <c r="B5">
        <v>64</v>
      </c>
      <c r="C5">
        <v>64</v>
      </c>
      <c r="D5">
        <v>60</v>
      </c>
    </row>
    <row r="9" spans="1:5">
      <c r="A9" s="161" t="s">
        <v>682</v>
      </c>
      <c r="B9" s="161" t="s">
        <v>683</v>
      </c>
      <c r="C9" s="161" t="s">
        <v>684</v>
      </c>
      <c r="D9" s="161" t="s">
        <v>685</v>
      </c>
      <c r="E9" s="161" t="s">
        <v>686</v>
      </c>
    </row>
    <row r="10" spans="1:5">
      <c r="A10" s="161" t="s">
        <v>687</v>
      </c>
      <c r="B10" s="251">
        <v>2700</v>
      </c>
      <c r="C10" s="251">
        <v>3200</v>
      </c>
      <c r="D10" s="251">
        <v>2900</v>
      </c>
      <c r="E10" s="251">
        <v>4200</v>
      </c>
    </row>
    <row r="11" spans="1:5">
      <c r="A11" s="161" t="s">
        <v>688</v>
      </c>
      <c r="B11" s="251">
        <v>4000</v>
      </c>
      <c r="C11" s="251">
        <v>2500</v>
      </c>
      <c r="D11" s="251">
        <v>5000</v>
      </c>
      <c r="E11" s="251">
        <v>4500</v>
      </c>
    </row>
    <row r="15" spans="1:5">
      <c r="A15" s="161" t="s">
        <v>689</v>
      </c>
      <c r="B15" s="161" t="s">
        <v>690</v>
      </c>
    </row>
    <row r="16" spans="1:5">
      <c r="A16" s="161" t="s">
        <v>691</v>
      </c>
      <c r="B16" s="252">
        <v>22000</v>
      </c>
    </row>
    <row r="17" spans="1:16">
      <c r="A17" s="161" t="s">
        <v>692</v>
      </c>
      <c r="B17" s="252">
        <v>95000</v>
      </c>
    </row>
    <row r="18" spans="1:16">
      <c r="A18" s="161" t="s">
        <v>693</v>
      </c>
      <c r="B18" s="252">
        <v>55000</v>
      </c>
    </row>
    <row r="19" spans="1:16">
      <c r="A19" s="161" t="s">
        <v>694</v>
      </c>
      <c r="B19" s="252">
        <v>142000</v>
      </c>
    </row>
    <row r="24" spans="1:16">
      <c r="A24" s="161" t="s">
        <v>39</v>
      </c>
      <c r="B24" s="161" t="s">
        <v>244</v>
      </c>
      <c r="C24" s="161" t="s">
        <v>353</v>
      </c>
    </row>
    <row r="25" spans="1:16">
      <c r="A25" t="s">
        <v>252</v>
      </c>
      <c r="B25">
        <v>126700</v>
      </c>
      <c r="C25" s="54">
        <v>0.15</v>
      </c>
    </row>
    <row r="26" spans="1:16">
      <c r="A26" t="s">
        <v>253</v>
      </c>
      <c r="B26">
        <v>145000</v>
      </c>
      <c r="C26" s="54">
        <v>0.1</v>
      </c>
    </row>
    <row r="27" spans="1:16">
      <c r="A27" t="s">
        <v>254</v>
      </c>
      <c r="B27">
        <v>122200</v>
      </c>
      <c r="C27" s="54">
        <v>7.0000000000000007E-2</v>
      </c>
    </row>
    <row r="28" spans="1:16">
      <c r="A28" t="s">
        <v>255</v>
      </c>
      <c r="B28">
        <v>151000</v>
      </c>
      <c r="C28" s="54">
        <v>0.2</v>
      </c>
    </row>
    <row r="32" spans="1:16">
      <c r="A32" s="242" t="s">
        <v>695</v>
      </c>
      <c r="B32" s="242">
        <v>23201</v>
      </c>
      <c r="O32" s="193"/>
      <c r="P32" s="54"/>
    </row>
    <row r="33" spans="1:16">
      <c r="A33" s="242" t="s">
        <v>696</v>
      </c>
      <c r="B33" s="242">
        <v>-8273</v>
      </c>
      <c r="O33" s="193"/>
      <c r="P33" s="54"/>
    </row>
    <row r="34" spans="1:16">
      <c r="A34" s="242" t="s">
        <v>697</v>
      </c>
      <c r="B34" s="242">
        <f>SUM(B32:B33)</f>
        <v>14928</v>
      </c>
      <c r="O34" s="193"/>
      <c r="P34" s="54"/>
    </row>
    <row r="35" spans="1:16">
      <c r="A35" s="242" t="s">
        <v>699</v>
      </c>
      <c r="B35" s="242">
        <v>-1151</v>
      </c>
      <c r="O35" s="193"/>
      <c r="P35" s="54"/>
    </row>
    <row r="36" spans="1:16">
      <c r="A36" s="242" t="s">
        <v>698</v>
      </c>
      <c r="B36" s="242">
        <f>SUM(B35,B32:B33)</f>
        <v>13777</v>
      </c>
      <c r="O36" s="193"/>
      <c r="P36" s="54"/>
    </row>
    <row r="45" spans="1:16">
      <c r="A45" t="s">
        <v>700</v>
      </c>
      <c r="B45" t="s">
        <v>701</v>
      </c>
      <c r="C45">
        <v>63928</v>
      </c>
    </row>
    <row r="46" spans="1:16">
      <c r="B46" t="s">
        <v>702</v>
      </c>
      <c r="C46">
        <v>415657</v>
      </c>
    </row>
    <row r="47" spans="1:16">
      <c r="A47" t="s">
        <v>703</v>
      </c>
      <c r="B47" s="1" t="s">
        <v>704</v>
      </c>
      <c r="C47" s="1">
        <v>350505</v>
      </c>
    </row>
    <row r="48" spans="1:16">
      <c r="B48" s="1" t="s">
        <v>705</v>
      </c>
      <c r="C48" s="1">
        <v>387798</v>
      </c>
    </row>
    <row r="49" spans="1:3">
      <c r="B49" s="1" t="s">
        <v>701</v>
      </c>
      <c r="C49" s="1">
        <v>460720</v>
      </c>
    </row>
    <row r="50" spans="1:3">
      <c r="B50" s="1" t="s">
        <v>702</v>
      </c>
      <c r="C50" s="1">
        <v>371471</v>
      </c>
    </row>
    <row r="51" spans="1:3">
      <c r="A51" t="s">
        <v>706</v>
      </c>
      <c r="B51" s="1" t="s">
        <v>704</v>
      </c>
      <c r="C51" s="1">
        <v>413554</v>
      </c>
    </row>
    <row r="52" spans="1:3">
      <c r="B52" s="1" t="s">
        <v>705</v>
      </c>
      <c r="C52" s="1">
        <v>324816</v>
      </c>
    </row>
    <row r="53" spans="1:3">
      <c r="B53" s="1" t="s">
        <v>701</v>
      </c>
      <c r="C53" s="1">
        <v>299590</v>
      </c>
    </row>
    <row r="54" spans="1:3">
      <c r="B54" s="1" t="s">
        <v>702</v>
      </c>
      <c r="C54" s="1">
        <v>387309</v>
      </c>
    </row>
    <row r="55" spans="1:3">
      <c r="A55" t="s">
        <v>707</v>
      </c>
      <c r="B55" s="1" t="s">
        <v>704</v>
      </c>
      <c r="C55" s="1">
        <v>369721</v>
      </c>
    </row>
    <row r="56" spans="1:3">
      <c r="B56" s="1" t="s">
        <v>705</v>
      </c>
      <c r="C56" s="1">
        <v>166077</v>
      </c>
    </row>
  </sheetData>
  <sortState xmlns:xlrd2="http://schemas.microsoft.com/office/spreadsheetml/2017/richdata2" ref="M32:N36">
    <sortCondition descending="1" ref="N32:N36"/>
  </sortState>
  <pageMargins left="0.7" right="0.7" top="0.75" bottom="0.75" header="0.3" footer="0.3"/>
  <pageSetup orientation="portrait" horizontalDpi="200" verticalDpi="2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9"/>
  <dimension ref="B1:F24"/>
  <sheetViews>
    <sheetView showGridLines="0" workbookViewId="0">
      <selection activeCell="B17" sqref="B17"/>
    </sheetView>
  </sheetViews>
  <sheetFormatPr defaultColWidth="9.28515625" defaultRowHeight="12.75"/>
  <cols>
    <col min="1" max="1" width="9.28515625" style="43"/>
    <col min="2" max="2" width="15.5703125" style="43" bestFit="1" customWidth="1"/>
    <col min="3" max="3" width="9.28515625" style="43"/>
    <col min="4" max="4" width="11" style="43" bestFit="1" customWidth="1"/>
    <col min="5" max="5" width="10" style="43" bestFit="1" customWidth="1"/>
    <col min="6" max="16384" width="9.28515625" style="43"/>
  </cols>
  <sheetData>
    <row r="1" spans="2:6">
      <c r="B1" s="273" t="s">
        <v>236</v>
      </c>
      <c r="C1" s="274"/>
      <c r="D1" s="274"/>
      <c r="E1" s="274"/>
      <c r="F1" s="275"/>
    </row>
    <row r="2" spans="2:6" ht="7.5" customHeight="1" thickBot="1">
      <c r="B2" s="276"/>
      <c r="C2" s="277"/>
      <c r="D2" s="277"/>
      <c r="E2" s="277"/>
      <c r="F2" s="278"/>
    </row>
    <row r="3" spans="2:6">
      <c r="B3" s="44" t="s">
        <v>237</v>
      </c>
      <c r="C3" s="45">
        <v>34</v>
      </c>
      <c r="E3" s="44" t="s">
        <v>238</v>
      </c>
      <c r="F3" s="45">
        <v>12.63</v>
      </c>
    </row>
    <row r="4" spans="2:6">
      <c r="B4" s="46" t="s">
        <v>239</v>
      </c>
      <c r="C4" s="47">
        <v>100000</v>
      </c>
      <c r="E4" s="46" t="s">
        <v>240</v>
      </c>
      <c r="F4" s="47">
        <v>750000</v>
      </c>
    </row>
    <row r="5" spans="2:6">
      <c r="B5" s="46" t="s">
        <v>241</v>
      </c>
      <c r="C5" s="48">
        <v>0.4</v>
      </c>
      <c r="E5" s="46"/>
      <c r="F5" s="47"/>
    </row>
    <row r="6" spans="2:6">
      <c r="B6" s="46"/>
      <c r="C6" s="47"/>
      <c r="E6" s="46"/>
      <c r="F6" s="47"/>
    </row>
    <row r="7" spans="2:6" ht="13.5" thickBot="1">
      <c r="B7" s="49" t="s">
        <v>242</v>
      </c>
      <c r="C7" s="50"/>
      <c r="E7" s="49" t="s">
        <v>243</v>
      </c>
      <c r="F7" s="50"/>
    </row>
    <row r="8" spans="2:6" ht="13.5" thickBot="1"/>
    <row r="9" spans="2:6" ht="15.75" thickBot="1">
      <c r="B9" s="51" t="s">
        <v>244</v>
      </c>
      <c r="C9" s="279"/>
      <c r="D9" s="280"/>
      <c r="E9" s="280"/>
      <c r="F9" s="281"/>
    </row>
    <row r="12" spans="2:6">
      <c r="B12" s="52" t="s">
        <v>245</v>
      </c>
    </row>
    <row r="13" spans="2:6">
      <c r="B13" s="52" t="s">
        <v>246</v>
      </c>
    </row>
    <row r="14" spans="2:6">
      <c r="B14" s="52" t="s">
        <v>247</v>
      </c>
    </row>
    <row r="15" spans="2:6">
      <c r="B15" s="43" t="s">
        <v>248</v>
      </c>
    </row>
    <row r="17" spans="2:2">
      <c r="B17" s="53"/>
    </row>
    <row r="18" spans="2:2">
      <c r="B18" s="53"/>
    </row>
    <row r="19" spans="2:2">
      <c r="B19" s="53"/>
    </row>
    <row r="20" spans="2:2">
      <c r="B20" s="53"/>
    </row>
    <row r="21" spans="2:2">
      <c r="B21" s="53"/>
    </row>
    <row r="22" spans="2:2">
      <c r="B22" s="53"/>
    </row>
    <row r="23" spans="2:2">
      <c r="B23" s="53"/>
    </row>
    <row r="24" spans="2:2">
      <c r="B24" s="53"/>
    </row>
  </sheetData>
  <sheetProtection selectLockedCells="1" selectUnlockedCells="1"/>
  <customSheetViews>
    <customSheetView guid="{32169818-EA48-4D2C-804F-10AFEFD0B9B2}" showGridLines="0">
      <selection activeCell="B17" sqref="B17"/>
      <pageMargins left="0.75" right="0.75" top="1" bottom="1" header="0.5" footer="0.5"/>
      <pageSetup orientation="portrait" horizontalDpi="300" verticalDpi="300" r:id="rId1"/>
      <headerFooter alignWithMargins="0"/>
    </customSheetView>
  </customSheetViews>
  <mergeCells count="2">
    <mergeCell ref="B1:F2"/>
    <mergeCell ref="C9:F9"/>
  </mergeCells>
  <phoneticPr fontId="0" type="noConversion"/>
  <pageMargins left="0.75" right="0.75" top="1" bottom="1" header="0.5" footer="0.5"/>
  <pageSetup orientation="portrait" horizontalDpi="300" verticalDpi="300" r:id="rId2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21"/>
  <sheetViews>
    <sheetView showGridLines="0" workbookViewId="0">
      <selection activeCell="B17" sqref="B17"/>
    </sheetView>
  </sheetViews>
  <sheetFormatPr defaultColWidth="9.28515625" defaultRowHeight="15"/>
  <cols>
    <col min="1" max="16384" width="9.28515625" style="114"/>
  </cols>
  <sheetData>
    <row r="1" spans="1:6">
      <c r="A1" s="114" t="s">
        <v>311</v>
      </c>
    </row>
    <row r="2" spans="1:6" ht="15.75" thickBot="1"/>
    <row r="3" spans="1:6" ht="16.5" thickBot="1">
      <c r="A3" s="105" t="s">
        <v>280</v>
      </c>
      <c r="B3" s="106" t="s">
        <v>281</v>
      </c>
      <c r="C3" s="106" t="s">
        <v>282</v>
      </c>
      <c r="D3" s="106" t="s">
        <v>46</v>
      </c>
      <c r="E3" s="106" t="s">
        <v>278</v>
      </c>
      <c r="F3" s="107" t="s">
        <v>312</v>
      </c>
    </row>
    <row r="4" spans="1:6">
      <c r="A4" s="108" t="s">
        <v>286</v>
      </c>
      <c r="B4" s="114" t="s">
        <v>287</v>
      </c>
      <c r="C4" s="114" t="s">
        <v>288</v>
      </c>
      <c r="D4" s="114" t="s">
        <v>71</v>
      </c>
      <c r="E4" s="109">
        <v>119</v>
      </c>
      <c r="F4" s="110">
        <v>47</v>
      </c>
    </row>
    <row r="5" spans="1:6">
      <c r="A5" s="108" t="s">
        <v>294</v>
      </c>
      <c r="B5" s="114" t="s">
        <v>295</v>
      </c>
      <c r="C5" s="114" t="s">
        <v>291</v>
      </c>
      <c r="D5" s="114" t="s">
        <v>71</v>
      </c>
      <c r="E5" s="109">
        <v>20</v>
      </c>
      <c r="F5" s="110">
        <v>35</v>
      </c>
    </row>
    <row r="6" spans="1:6">
      <c r="A6" s="108" t="s">
        <v>298</v>
      </c>
      <c r="B6" s="114" t="s">
        <v>299</v>
      </c>
      <c r="C6" s="114" t="s">
        <v>288</v>
      </c>
      <c r="D6" s="114" t="s">
        <v>71</v>
      </c>
      <c r="E6" s="109">
        <v>650</v>
      </c>
      <c r="F6" s="110">
        <v>46</v>
      </c>
    </row>
    <row r="7" spans="1:6">
      <c r="A7" s="108" t="s">
        <v>303</v>
      </c>
      <c r="B7" s="114" t="s">
        <v>304</v>
      </c>
      <c r="C7" s="114" t="s">
        <v>288</v>
      </c>
      <c r="D7" s="114" t="s">
        <v>71</v>
      </c>
      <c r="E7" s="109">
        <v>669</v>
      </c>
      <c r="F7" s="110">
        <v>58</v>
      </c>
    </row>
    <row r="8" spans="1:6">
      <c r="A8" s="108" t="s">
        <v>310</v>
      </c>
      <c r="B8" s="114" t="s">
        <v>295</v>
      </c>
      <c r="C8" s="114" t="s">
        <v>291</v>
      </c>
      <c r="D8" s="114" t="s">
        <v>71</v>
      </c>
      <c r="E8" s="109">
        <v>579</v>
      </c>
      <c r="F8" s="110">
        <v>77</v>
      </c>
    </row>
    <row r="9" spans="1:6">
      <c r="A9" s="108" t="s">
        <v>313</v>
      </c>
      <c r="B9" s="114" t="s">
        <v>299</v>
      </c>
      <c r="C9" s="114" t="s">
        <v>288</v>
      </c>
      <c r="D9" s="114" t="s">
        <v>71</v>
      </c>
      <c r="E9" s="109">
        <v>239</v>
      </c>
      <c r="F9" s="110">
        <v>84</v>
      </c>
    </row>
    <row r="10" spans="1:6">
      <c r="A10" s="108" t="s">
        <v>314</v>
      </c>
      <c r="B10" s="114" t="s">
        <v>304</v>
      </c>
      <c r="C10" s="114" t="s">
        <v>288</v>
      </c>
      <c r="D10" s="114" t="s">
        <v>71</v>
      </c>
      <c r="E10" s="109">
        <v>533</v>
      </c>
      <c r="F10" s="110">
        <v>99</v>
      </c>
    </row>
    <row r="11" spans="1:6">
      <c r="A11" s="108" t="s">
        <v>315</v>
      </c>
      <c r="B11" s="114" t="s">
        <v>287</v>
      </c>
      <c r="C11" s="114" t="s">
        <v>288</v>
      </c>
      <c r="D11" s="114" t="s">
        <v>71</v>
      </c>
      <c r="E11" s="109">
        <v>10</v>
      </c>
      <c r="F11" s="110">
        <v>66</v>
      </c>
    </row>
    <row r="12" spans="1:6">
      <c r="A12" s="108" t="s">
        <v>316</v>
      </c>
      <c r="B12" s="114" t="s">
        <v>295</v>
      </c>
      <c r="C12" s="114" t="s">
        <v>291</v>
      </c>
      <c r="D12" s="114" t="s">
        <v>71</v>
      </c>
      <c r="E12" s="109">
        <v>819</v>
      </c>
      <c r="F12" s="110">
        <v>47</v>
      </c>
    </row>
    <row r="13" spans="1:6">
      <c r="A13" s="108" t="s">
        <v>317</v>
      </c>
      <c r="B13" s="114" t="s">
        <v>299</v>
      </c>
      <c r="C13" s="114" t="s">
        <v>288</v>
      </c>
      <c r="D13" s="114" t="s">
        <v>71</v>
      </c>
      <c r="E13" s="109">
        <v>986</v>
      </c>
      <c r="F13" s="110">
        <v>54</v>
      </c>
    </row>
    <row r="14" spans="1:6">
      <c r="A14" s="108" t="s">
        <v>318</v>
      </c>
      <c r="B14" s="114" t="s">
        <v>304</v>
      </c>
      <c r="C14" s="114" t="s">
        <v>288</v>
      </c>
      <c r="D14" s="114" t="s">
        <v>71</v>
      </c>
      <c r="E14" s="109">
        <v>357</v>
      </c>
      <c r="F14" s="110">
        <v>83</v>
      </c>
    </row>
    <row r="15" spans="1:6">
      <c r="A15" s="108" t="s">
        <v>319</v>
      </c>
      <c r="B15" s="114" t="s">
        <v>295</v>
      </c>
      <c r="C15" s="114" t="s">
        <v>291</v>
      </c>
      <c r="D15" s="114" t="s">
        <v>71</v>
      </c>
      <c r="E15" s="109">
        <v>513</v>
      </c>
      <c r="F15" s="110">
        <v>13</v>
      </c>
    </row>
    <row r="16" spans="1:6">
      <c r="A16" s="108" t="s">
        <v>320</v>
      </c>
      <c r="B16" s="114" t="s">
        <v>299</v>
      </c>
      <c r="C16" s="114" t="s">
        <v>288</v>
      </c>
      <c r="D16" s="114" t="s">
        <v>71</v>
      </c>
      <c r="E16" s="109">
        <v>918</v>
      </c>
      <c r="F16" s="110">
        <v>90</v>
      </c>
    </row>
    <row r="17" spans="1:6" ht="15.75" thickBot="1">
      <c r="A17" s="111" t="s">
        <v>321</v>
      </c>
      <c r="B17" s="115" t="s">
        <v>304</v>
      </c>
      <c r="C17" s="115" t="s">
        <v>288</v>
      </c>
      <c r="D17" s="115" t="s">
        <v>71</v>
      </c>
      <c r="E17" s="112">
        <v>80</v>
      </c>
      <c r="F17" s="113">
        <v>39</v>
      </c>
    </row>
    <row r="21" spans="1:6">
      <c r="A21" s="114" t="s">
        <v>322</v>
      </c>
      <c r="D21" s="116"/>
    </row>
  </sheetData>
  <customSheetViews>
    <customSheetView guid="{32169818-EA48-4D2C-804F-10AFEFD0B9B2}" showGridLines="0" state="hidden">
      <selection activeCell="B17" sqref="B17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indexed="10"/>
  </sheetPr>
  <dimension ref="A1:D20"/>
  <sheetViews>
    <sheetView showGridLines="0" workbookViewId="0">
      <selection activeCell="B17" sqref="B17"/>
    </sheetView>
  </sheetViews>
  <sheetFormatPr defaultColWidth="9.28515625" defaultRowHeight="15"/>
  <cols>
    <col min="1" max="3" width="9.28515625" style="114"/>
    <col min="4" max="4" width="12.7109375" style="114" bestFit="1" customWidth="1"/>
    <col min="5" max="16384" width="9.28515625" style="114"/>
  </cols>
  <sheetData>
    <row r="1" spans="1:4" ht="16.5" thickBot="1">
      <c r="A1" s="105" t="s">
        <v>280</v>
      </c>
      <c r="B1" s="106" t="s">
        <v>283</v>
      </c>
      <c r="C1" s="106" t="s">
        <v>284</v>
      </c>
      <c r="D1" s="107" t="s">
        <v>285</v>
      </c>
    </row>
    <row r="2" spans="1:4">
      <c r="A2" s="108" t="s">
        <v>286</v>
      </c>
      <c r="B2" s="109"/>
      <c r="C2" s="109"/>
      <c r="D2" s="110"/>
    </row>
    <row r="3" spans="1:4">
      <c r="A3" s="108" t="s">
        <v>289</v>
      </c>
      <c r="B3" s="109"/>
      <c r="C3" s="109"/>
      <c r="D3" s="110"/>
    </row>
    <row r="4" spans="1:4">
      <c r="A4" s="108" t="s">
        <v>290</v>
      </c>
      <c r="B4" s="109"/>
      <c r="C4" s="109"/>
      <c r="D4" s="110"/>
    </row>
    <row r="5" spans="1:4">
      <c r="A5" s="108" t="s">
        <v>292</v>
      </c>
      <c r="B5" s="109"/>
      <c r="C5" s="109"/>
      <c r="D5" s="110"/>
    </row>
    <row r="6" spans="1:4">
      <c r="A6" s="108" t="s">
        <v>293</v>
      </c>
      <c r="B6" s="109"/>
      <c r="C6" s="109"/>
      <c r="D6" s="110"/>
    </row>
    <row r="7" spans="1:4">
      <c r="A7" s="108" t="s">
        <v>294</v>
      </c>
      <c r="B7" s="109"/>
      <c r="C7" s="109"/>
      <c r="D7" s="110"/>
    </row>
    <row r="8" spans="1:4">
      <c r="A8" s="108" t="s">
        <v>296</v>
      </c>
      <c r="B8" s="109"/>
      <c r="C8" s="109"/>
      <c r="D8" s="110"/>
    </row>
    <row r="9" spans="1:4">
      <c r="A9" s="108" t="s">
        <v>297</v>
      </c>
      <c r="B9" s="109"/>
      <c r="C9" s="109"/>
      <c r="D9" s="110"/>
    </row>
    <row r="10" spans="1:4">
      <c r="A10" s="108" t="s">
        <v>298</v>
      </c>
      <c r="B10" s="109"/>
      <c r="C10" s="109"/>
      <c r="D10" s="110"/>
    </row>
    <row r="11" spans="1:4">
      <c r="A11" s="108" t="s">
        <v>300</v>
      </c>
      <c r="B11" s="109"/>
      <c r="C11" s="109"/>
      <c r="D11" s="110"/>
    </row>
    <row r="12" spans="1:4">
      <c r="A12" s="108" t="s">
        <v>301</v>
      </c>
      <c r="B12" s="109"/>
      <c r="C12" s="109"/>
      <c r="D12" s="110"/>
    </row>
    <row r="13" spans="1:4">
      <c r="A13" s="108" t="s">
        <v>302</v>
      </c>
      <c r="B13" s="109"/>
      <c r="C13" s="109"/>
      <c r="D13" s="110"/>
    </row>
    <row r="14" spans="1:4">
      <c r="A14" s="108" t="s">
        <v>303</v>
      </c>
      <c r="B14" s="109"/>
      <c r="C14" s="109"/>
      <c r="D14" s="110"/>
    </row>
    <row r="15" spans="1:4">
      <c r="A15" s="108" t="s">
        <v>305</v>
      </c>
      <c r="B15" s="109"/>
      <c r="C15" s="109"/>
      <c r="D15" s="110"/>
    </row>
    <row r="16" spans="1:4">
      <c r="A16" s="108" t="s">
        <v>306</v>
      </c>
      <c r="B16" s="109"/>
      <c r="C16" s="109"/>
      <c r="D16" s="110"/>
    </row>
    <row r="17" spans="1:4">
      <c r="A17" s="108" t="s">
        <v>307</v>
      </c>
      <c r="B17" s="109"/>
      <c r="C17" s="109"/>
      <c r="D17" s="110"/>
    </row>
    <row r="18" spans="1:4">
      <c r="A18" s="108" t="s">
        <v>308</v>
      </c>
      <c r="B18" s="109"/>
      <c r="C18" s="109"/>
      <c r="D18" s="110"/>
    </row>
    <row r="19" spans="1:4">
      <c r="A19" s="108" t="s">
        <v>309</v>
      </c>
      <c r="B19" s="109"/>
      <c r="C19" s="109"/>
      <c r="D19" s="110"/>
    </row>
    <row r="20" spans="1:4" ht="15.75" thickBot="1">
      <c r="A20" s="111" t="s">
        <v>310</v>
      </c>
      <c r="B20" s="112"/>
      <c r="C20" s="112"/>
      <c r="D20" s="113"/>
    </row>
  </sheetData>
  <dataConsolidate link="1">
    <dataRefs count="3">
      <dataRef ref="B2:D20" sheet="Dec" r:id="rId1"/>
      <dataRef ref="B2:D20" sheet="Feb" r:id="rId2"/>
      <dataRef ref="B2:D20" sheet="Jan" r:id="rId3"/>
    </dataRefs>
  </dataConsolidate>
  <customSheetViews>
    <customSheetView guid="{32169818-EA48-4D2C-804F-10AFEFD0B9B2}" showGridLines="0" state="hidden">
      <selection activeCell="B17" sqref="B17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indexed="10"/>
  </sheetPr>
  <dimension ref="A1:D20"/>
  <sheetViews>
    <sheetView workbookViewId="0">
      <selection activeCell="B17" sqref="B17"/>
    </sheetView>
  </sheetViews>
  <sheetFormatPr defaultColWidth="9.28515625" defaultRowHeight="15"/>
  <cols>
    <col min="1" max="3" width="9.28515625" style="114"/>
    <col min="4" max="4" width="12.7109375" style="114" bestFit="1" customWidth="1"/>
    <col min="5" max="16384" width="9.28515625" style="114"/>
  </cols>
  <sheetData>
    <row r="1" spans="1:4" ht="16.5" thickBot="1">
      <c r="A1" s="105" t="s">
        <v>280</v>
      </c>
      <c r="B1" s="106" t="s">
        <v>283</v>
      </c>
      <c r="C1" s="106" t="s">
        <v>284</v>
      </c>
      <c r="D1" s="107" t="s">
        <v>285</v>
      </c>
    </row>
    <row r="2" spans="1:4">
      <c r="A2" s="108" t="s">
        <v>286</v>
      </c>
      <c r="B2" s="109">
        <v>69526.628677689616</v>
      </c>
      <c r="C2" s="109">
        <v>156.79691469148383</v>
      </c>
      <c r="D2" s="110">
        <f t="shared" ref="D2:D20" si="0">+B2+C2</f>
        <v>69683.4255923811</v>
      </c>
    </row>
    <row r="3" spans="1:4">
      <c r="A3" s="108" t="s">
        <v>289</v>
      </c>
      <c r="B3" s="109">
        <v>14775.471490773118</v>
      </c>
      <c r="C3" s="109">
        <v>3087.7852940770499</v>
      </c>
      <c r="D3" s="110">
        <f t="shared" si="0"/>
        <v>17863.256784850168</v>
      </c>
    </row>
    <row r="4" spans="1:4">
      <c r="A4" s="108" t="s">
        <v>290</v>
      </c>
      <c r="B4" s="109">
        <v>53428.579521672706</v>
      </c>
      <c r="C4" s="109">
        <v>4900.466711853388</v>
      </c>
      <c r="D4" s="110">
        <f t="shared" si="0"/>
        <v>58329.046233526096</v>
      </c>
    </row>
    <row r="5" spans="1:4">
      <c r="A5" s="108" t="s">
        <v>292</v>
      </c>
      <c r="B5" s="109">
        <v>52389</v>
      </c>
      <c r="C5" s="109">
        <v>4508.0904450256339</v>
      </c>
      <c r="D5" s="110">
        <f t="shared" si="0"/>
        <v>56897.090445025635</v>
      </c>
    </row>
    <row r="6" spans="1:4">
      <c r="A6" s="108" t="s">
        <v>293</v>
      </c>
      <c r="B6" s="109">
        <v>35841.938391688323</v>
      </c>
      <c r="C6" s="109">
        <v>2025.4903614863906</v>
      </c>
      <c r="D6" s="110">
        <f t="shared" si="0"/>
        <v>37867.42875317471</v>
      </c>
    </row>
    <row r="7" spans="1:4">
      <c r="A7" s="108" t="s">
        <v>294</v>
      </c>
      <c r="B7" s="109">
        <v>88735.894090917616</v>
      </c>
      <c r="C7" s="109">
        <v>9610.959132295262</v>
      </c>
      <c r="D7" s="110">
        <f t="shared" si="0"/>
        <v>98346.853223212878</v>
      </c>
    </row>
    <row r="8" spans="1:4">
      <c r="A8" s="108" t="s">
        <v>296</v>
      </c>
      <c r="B8" s="109">
        <v>83162.31966967546</v>
      </c>
      <c r="C8" s="109">
        <v>9877.8575588217263</v>
      </c>
      <c r="D8" s="110">
        <f t="shared" si="0"/>
        <v>93040.177228497181</v>
      </c>
    </row>
    <row r="9" spans="1:4">
      <c r="A9" s="108" t="s">
        <v>297</v>
      </c>
      <c r="B9" s="109">
        <v>31914.962343781637</v>
      </c>
      <c r="C9" s="109">
        <v>4302.5460194737434</v>
      </c>
      <c r="D9" s="110">
        <f t="shared" si="0"/>
        <v>36217.50836325538</v>
      </c>
    </row>
    <row r="10" spans="1:4">
      <c r="A10" s="108" t="s">
        <v>298</v>
      </c>
      <c r="B10" s="109">
        <v>49108.429284259182</v>
      </c>
      <c r="C10" s="109">
        <v>9150.6138535142691</v>
      </c>
      <c r="D10" s="110">
        <f t="shared" si="0"/>
        <v>58259.043137773449</v>
      </c>
    </row>
    <row r="11" spans="1:4">
      <c r="A11" s="108" t="s">
        <v>300</v>
      </c>
      <c r="B11" s="109">
        <v>10633.241156609418</v>
      </c>
      <c r="C11" s="109">
        <v>1786.689104911412</v>
      </c>
      <c r="D11" s="110">
        <f t="shared" si="0"/>
        <v>12419.930261520829</v>
      </c>
    </row>
    <row r="12" spans="1:4">
      <c r="A12" s="108" t="s">
        <v>301</v>
      </c>
      <c r="B12" s="109">
        <v>73532.361465848255</v>
      </c>
      <c r="C12" s="109">
        <v>8406.8273480980242</v>
      </c>
      <c r="D12" s="110">
        <f t="shared" si="0"/>
        <v>81939.188813946283</v>
      </c>
    </row>
    <row r="13" spans="1:4">
      <c r="A13" s="108" t="s">
        <v>302</v>
      </c>
      <c r="B13" s="109">
        <v>33990.382666765261</v>
      </c>
      <c r="C13" s="109">
        <v>6532.9468232478939</v>
      </c>
      <c r="D13" s="110">
        <f t="shared" si="0"/>
        <v>40523.329490013159</v>
      </c>
    </row>
    <row r="14" spans="1:4">
      <c r="A14" s="108" t="s">
        <v>303</v>
      </c>
      <c r="B14" s="109">
        <v>8071.1931502374764</v>
      </c>
      <c r="C14" s="109">
        <v>9772.8287203606706</v>
      </c>
      <c r="D14" s="110">
        <f t="shared" si="0"/>
        <v>17844.021870598146</v>
      </c>
    </row>
    <row r="15" spans="1:4">
      <c r="A15" s="108" t="s">
        <v>305</v>
      </c>
      <c r="B15" s="109">
        <v>86497.496901121733</v>
      </c>
      <c r="C15" s="109">
        <v>4798.3713044768829</v>
      </c>
      <c r="D15" s="110">
        <f t="shared" si="0"/>
        <v>91295.868205598614</v>
      </c>
    </row>
    <row r="16" spans="1:4">
      <c r="A16" s="108" t="s">
        <v>306</v>
      </c>
      <c r="B16" s="109">
        <v>14775.471490773118</v>
      </c>
      <c r="C16" s="109">
        <v>3087.7852940770499</v>
      </c>
      <c r="D16" s="110">
        <f t="shared" si="0"/>
        <v>17863.256784850168</v>
      </c>
    </row>
    <row r="17" spans="1:4">
      <c r="A17" s="108" t="s">
        <v>307</v>
      </c>
      <c r="B17" s="109">
        <v>53428.579521672706</v>
      </c>
      <c r="C17" s="109">
        <v>4900.466711853388</v>
      </c>
      <c r="D17" s="110">
        <f t="shared" si="0"/>
        <v>58329.046233526096</v>
      </c>
    </row>
    <row r="18" spans="1:4">
      <c r="A18" s="108" t="s">
        <v>308</v>
      </c>
      <c r="B18" s="109">
        <v>52389</v>
      </c>
      <c r="C18" s="109">
        <v>4508.0904450256339</v>
      </c>
      <c r="D18" s="110">
        <f t="shared" si="0"/>
        <v>56897.090445025635</v>
      </c>
    </row>
    <row r="19" spans="1:4">
      <c r="A19" s="108" t="s">
        <v>309</v>
      </c>
      <c r="B19" s="109">
        <v>35841.938391688323</v>
      </c>
      <c r="C19" s="109">
        <v>2025.4903614863906</v>
      </c>
      <c r="D19" s="110">
        <f t="shared" si="0"/>
        <v>37867.42875317471</v>
      </c>
    </row>
    <row r="20" spans="1:4" ht="15.75" thickBot="1">
      <c r="A20" s="111" t="s">
        <v>310</v>
      </c>
      <c r="B20" s="112">
        <v>88735.894090917616</v>
      </c>
      <c r="C20" s="112">
        <v>9610.959132295262</v>
      </c>
      <c r="D20" s="113">
        <f t="shared" si="0"/>
        <v>98346.853223212878</v>
      </c>
    </row>
  </sheetData>
  <customSheetViews>
    <customSheetView guid="{32169818-EA48-4D2C-804F-10AFEFD0B9B2}" state="hidden">
      <selection activeCell="B17" sqref="B17"/>
      <pageMargins left="0.7" right="0.7" top="0.75" bottom="0.75" header="0.3" footer="0.3"/>
      <headerFooter alignWithMargins="0"/>
    </customSheetView>
  </customSheetViews>
  <pageMargins left="0.7" right="0.7" top="0.75" bottom="0.75" header="0.3" footer="0.3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indexed="10"/>
  </sheetPr>
  <dimension ref="A1:D20"/>
  <sheetViews>
    <sheetView workbookViewId="0">
      <selection activeCell="B17" sqref="B17"/>
    </sheetView>
  </sheetViews>
  <sheetFormatPr defaultColWidth="9.28515625" defaultRowHeight="15"/>
  <cols>
    <col min="1" max="3" width="9.28515625" style="114"/>
    <col min="4" max="4" width="12.7109375" style="114" bestFit="1" customWidth="1"/>
    <col min="5" max="16384" width="9.28515625" style="114"/>
  </cols>
  <sheetData>
    <row r="1" spans="1:4" ht="16.5" thickBot="1">
      <c r="A1" s="105" t="s">
        <v>280</v>
      </c>
      <c r="B1" s="106" t="s">
        <v>283</v>
      </c>
      <c r="C1" s="106" t="s">
        <v>284</v>
      </c>
      <c r="D1" s="107" t="s">
        <v>285</v>
      </c>
    </row>
    <row r="2" spans="1:4">
      <c r="A2" s="108" t="s">
        <v>286</v>
      </c>
      <c r="B2" s="109">
        <v>69526.628677689616</v>
      </c>
      <c r="C2" s="109">
        <v>156.79691469148383</v>
      </c>
      <c r="D2" s="110">
        <f t="shared" ref="D2:D20" si="0">+B2+C2</f>
        <v>69683.4255923811</v>
      </c>
    </row>
    <row r="3" spans="1:4">
      <c r="A3" s="108" t="s">
        <v>289</v>
      </c>
      <c r="B3" s="109">
        <v>14775.471490773118</v>
      </c>
      <c r="C3" s="109">
        <v>3087.7852940770499</v>
      </c>
      <c r="D3" s="110">
        <f t="shared" si="0"/>
        <v>17863.256784850168</v>
      </c>
    </row>
    <row r="4" spans="1:4">
      <c r="A4" s="108" t="s">
        <v>290</v>
      </c>
      <c r="B4" s="109">
        <v>53428.579521672706</v>
      </c>
      <c r="C4" s="109">
        <v>4900.466711853388</v>
      </c>
      <c r="D4" s="110">
        <f t="shared" si="0"/>
        <v>58329.046233526096</v>
      </c>
    </row>
    <row r="5" spans="1:4">
      <c r="A5" s="108" t="s">
        <v>292</v>
      </c>
      <c r="B5" s="109">
        <v>52389</v>
      </c>
      <c r="C5" s="109">
        <v>4508.0904450256339</v>
      </c>
      <c r="D5" s="110">
        <f t="shared" si="0"/>
        <v>56897.090445025635</v>
      </c>
    </row>
    <row r="6" spans="1:4">
      <c r="A6" s="108" t="s">
        <v>293</v>
      </c>
      <c r="B6" s="109">
        <v>35841.938391688323</v>
      </c>
      <c r="C6" s="109">
        <v>2025.4903614863906</v>
      </c>
      <c r="D6" s="110">
        <f t="shared" si="0"/>
        <v>37867.42875317471</v>
      </c>
    </row>
    <row r="7" spans="1:4">
      <c r="A7" s="108" t="s">
        <v>294</v>
      </c>
      <c r="B7" s="109">
        <v>88735.894090917616</v>
      </c>
      <c r="C7" s="109">
        <v>9610.959132295262</v>
      </c>
      <c r="D7" s="110">
        <f t="shared" si="0"/>
        <v>98346.853223212878</v>
      </c>
    </row>
    <row r="8" spans="1:4">
      <c r="A8" s="108" t="s">
        <v>296</v>
      </c>
      <c r="B8" s="109">
        <v>83162.31966967546</v>
      </c>
      <c r="C8" s="109">
        <v>9877.8575588217263</v>
      </c>
      <c r="D8" s="110">
        <f t="shared" si="0"/>
        <v>93040.177228497181</v>
      </c>
    </row>
    <row r="9" spans="1:4">
      <c r="A9" s="108" t="s">
        <v>297</v>
      </c>
      <c r="B9" s="109">
        <v>31914.962343781637</v>
      </c>
      <c r="C9" s="109">
        <v>4302.5460194737434</v>
      </c>
      <c r="D9" s="110">
        <f t="shared" si="0"/>
        <v>36217.50836325538</v>
      </c>
    </row>
    <row r="10" spans="1:4">
      <c r="A10" s="108" t="s">
        <v>298</v>
      </c>
      <c r="B10" s="109">
        <v>49108.429284259182</v>
      </c>
      <c r="C10" s="109">
        <v>9150.6138535142691</v>
      </c>
      <c r="D10" s="110">
        <f t="shared" si="0"/>
        <v>58259.043137773449</v>
      </c>
    </row>
    <row r="11" spans="1:4">
      <c r="A11" s="108" t="s">
        <v>300</v>
      </c>
      <c r="B11" s="109">
        <v>10633.241156609418</v>
      </c>
      <c r="C11" s="109">
        <v>1786.689104911412</v>
      </c>
      <c r="D11" s="110">
        <f t="shared" si="0"/>
        <v>12419.930261520829</v>
      </c>
    </row>
    <row r="12" spans="1:4">
      <c r="A12" s="108" t="s">
        <v>301</v>
      </c>
      <c r="B12" s="109">
        <v>73532.361465848255</v>
      </c>
      <c r="C12" s="109">
        <v>8406.8273480980242</v>
      </c>
      <c r="D12" s="110">
        <f t="shared" si="0"/>
        <v>81939.188813946283</v>
      </c>
    </row>
    <row r="13" spans="1:4">
      <c r="A13" s="108" t="s">
        <v>302</v>
      </c>
      <c r="B13" s="109">
        <v>33990.382666765261</v>
      </c>
      <c r="C13" s="109">
        <v>6532.9468232478939</v>
      </c>
      <c r="D13" s="110">
        <f t="shared" si="0"/>
        <v>40523.329490013159</v>
      </c>
    </row>
    <row r="14" spans="1:4">
      <c r="A14" s="108" t="s">
        <v>303</v>
      </c>
      <c r="B14" s="109">
        <v>8071.1931502374764</v>
      </c>
      <c r="C14" s="109">
        <v>9772.8287203606706</v>
      </c>
      <c r="D14" s="110">
        <f t="shared" si="0"/>
        <v>17844.021870598146</v>
      </c>
    </row>
    <row r="15" spans="1:4">
      <c r="A15" s="108" t="s">
        <v>305</v>
      </c>
      <c r="B15" s="109">
        <v>86497.496901121733</v>
      </c>
      <c r="C15" s="109">
        <v>4798.3713044768829</v>
      </c>
      <c r="D15" s="110">
        <f t="shared" si="0"/>
        <v>91295.868205598614</v>
      </c>
    </row>
    <row r="16" spans="1:4">
      <c r="A16" s="108" t="s">
        <v>306</v>
      </c>
      <c r="B16" s="109">
        <v>14775.471490773118</v>
      </c>
      <c r="C16" s="109">
        <v>3087.7852940770499</v>
      </c>
      <c r="D16" s="110">
        <f t="shared" si="0"/>
        <v>17863.256784850168</v>
      </c>
    </row>
    <row r="17" spans="1:4">
      <c r="A17" s="108" t="s">
        <v>307</v>
      </c>
      <c r="B17" s="109">
        <v>53428.579521672706</v>
      </c>
      <c r="C17" s="109">
        <v>4900.466711853388</v>
      </c>
      <c r="D17" s="110">
        <f t="shared" si="0"/>
        <v>58329.046233526096</v>
      </c>
    </row>
    <row r="18" spans="1:4">
      <c r="A18" s="108" t="s">
        <v>308</v>
      </c>
      <c r="B18" s="109">
        <v>52389</v>
      </c>
      <c r="C18" s="109">
        <v>4508.0904450256339</v>
      </c>
      <c r="D18" s="110">
        <f t="shared" si="0"/>
        <v>56897.090445025635</v>
      </c>
    </row>
    <row r="19" spans="1:4">
      <c r="A19" s="108" t="s">
        <v>309</v>
      </c>
      <c r="B19" s="109">
        <v>35841.938391688323</v>
      </c>
      <c r="C19" s="109">
        <v>2025.4903614863906</v>
      </c>
      <c r="D19" s="110">
        <f t="shared" si="0"/>
        <v>37867.42875317471</v>
      </c>
    </row>
    <row r="20" spans="1:4" ht="15.75" thickBot="1">
      <c r="A20" s="111" t="s">
        <v>310</v>
      </c>
      <c r="B20" s="112">
        <v>88735.894090917616</v>
      </c>
      <c r="C20" s="112">
        <v>9610.959132295262</v>
      </c>
      <c r="D20" s="113">
        <f t="shared" si="0"/>
        <v>98346.853223212878</v>
      </c>
    </row>
  </sheetData>
  <customSheetViews>
    <customSheetView guid="{32169818-EA48-4D2C-804F-10AFEFD0B9B2}" state="hidden">
      <selection activeCell="B17" sqref="B17"/>
      <pageMargins left="0.7" right="0.7" top="0.75" bottom="0.75" header="0.3" footer="0.3"/>
      <headerFooter alignWithMargins="0"/>
    </customSheetView>
  </customSheetViews>
  <pageMargins left="0.7" right="0.7" top="0.75" bottom="0.75" header="0.3" footer="0.3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indexed="10"/>
  </sheetPr>
  <dimension ref="A1:D20"/>
  <sheetViews>
    <sheetView workbookViewId="0">
      <selection activeCell="B17" sqref="B17"/>
    </sheetView>
  </sheetViews>
  <sheetFormatPr defaultColWidth="9.28515625" defaultRowHeight="15"/>
  <cols>
    <col min="1" max="3" width="9.28515625" style="114"/>
    <col min="4" max="4" width="12.7109375" style="114" bestFit="1" customWidth="1"/>
    <col min="5" max="16384" width="9.28515625" style="114"/>
  </cols>
  <sheetData>
    <row r="1" spans="1:4" ht="16.5" thickBot="1">
      <c r="A1" s="105" t="s">
        <v>280</v>
      </c>
      <c r="B1" s="106" t="s">
        <v>283</v>
      </c>
      <c r="C1" s="106" t="s">
        <v>284</v>
      </c>
      <c r="D1" s="107" t="s">
        <v>285</v>
      </c>
    </row>
    <row r="2" spans="1:4">
      <c r="A2" s="108" t="s">
        <v>286</v>
      </c>
      <c r="B2" s="109">
        <v>69526.628677689616</v>
      </c>
      <c r="C2" s="109">
        <v>156.79691469148383</v>
      </c>
      <c r="D2" s="110">
        <f t="shared" ref="D2:D20" si="0">+B2+C2</f>
        <v>69683.4255923811</v>
      </c>
    </row>
    <row r="3" spans="1:4">
      <c r="A3" s="108" t="s">
        <v>289</v>
      </c>
      <c r="B3" s="109">
        <v>14775.471490773118</v>
      </c>
      <c r="C3" s="109">
        <v>3087.7852940770499</v>
      </c>
      <c r="D3" s="110">
        <f t="shared" si="0"/>
        <v>17863.256784850168</v>
      </c>
    </row>
    <row r="4" spans="1:4">
      <c r="A4" s="108" t="s">
        <v>290</v>
      </c>
      <c r="B4" s="109">
        <v>53428.579521672706</v>
      </c>
      <c r="C4" s="109">
        <v>4900.466711853388</v>
      </c>
      <c r="D4" s="110">
        <f t="shared" si="0"/>
        <v>58329.046233526096</v>
      </c>
    </row>
    <row r="5" spans="1:4">
      <c r="A5" s="108" t="s">
        <v>292</v>
      </c>
      <c r="B5" s="109">
        <v>52389</v>
      </c>
      <c r="C5" s="109">
        <v>4508.0904450256339</v>
      </c>
      <c r="D5" s="110">
        <f t="shared" si="0"/>
        <v>56897.090445025635</v>
      </c>
    </row>
    <row r="6" spans="1:4">
      <c r="A6" s="108" t="s">
        <v>293</v>
      </c>
      <c r="B6" s="109">
        <v>35841.938391688323</v>
      </c>
      <c r="C6" s="109">
        <v>2025.4903614863906</v>
      </c>
      <c r="D6" s="110">
        <f t="shared" si="0"/>
        <v>37867.42875317471</v>
      </c>
    </row>
    <row r="7" spans="1:4">
      <c r="A7" s="108" t="s">
        <v>294</v>
      </c>
      <c r="B7" s="109">
        <v>88735.894090917616</v>
      </c>
      <c r="C7" s="109">
        <v>9610.959132295262</v>
      </c>
      <c r="D7" s="110">
        <f t="shared" si="0"/>
        <v>98346.853223212878</v>
      </c>
    </row>
    <row r="8" spans="1:4">
      <c r="A8" s="108" t="s">
        <v>296</v>
      </c>
      <c r="B8" s="109">
        <v>83162.31966967546</v>
      </c>
      <c r="C8" s="109">
        <v>9877.8575588217263</v>
      </c>
      <c r="D8" s="110">
        <f t="shared" si="0"/>
        <v>93040.177228497181</v>
      </c>
    </row>
    <row r="9" spans="1:4">
      <c r="A9" s="108" t="s">
        <v>297</v>
      </c>
      <c r="B9" s="109">
        <v>31914.962343781637</v>
      </c>
      <c r="C9" s="109">
        <v>4302.5460194737434</v>
      </c>
      <c r="D9" s="110">
        <f t="shared" si="0"/>
        <v>36217.50836325538</v>
      </c>
    </row>
    <row r="10" spans="1:4">
      <c r="A10" s="108" t="s">
        <v>298</v>
      </c>
      <c r="B10" s="109">
        <v>49108.429284259182</v>
      </c>
      <c r="C10" s="109">
        <v>9150.6138535142691</v>
      </c>
      <c r="D10" s="110">
        <f t="shared" si="0"/>
        <v>58259.043137773449</v>
      </c>
    </row>
    <row r="11" spans="1:4">
      <c r="A11" s="108" t="s">
        <v>300</v>
      </c>
      <c r="B11" s="109">
        <v>10633.241156609418</v>
      </c>
      <c r="C11" s="109">
        <v>1786.689104911412</v>
      </c>
      <c r="D11" s="110">
        <f t="shared" si="0"/>
        <v>12419.930261520829</v>
      </c>
    </row>
    <row r="12" spans="1:4">
      <c r="A12" s="108" t="s">
        <v>301</v>
      </c>
      <c r="B12" s="109">
        <v>73532.361465848255</v>
      </c>
      <c r="C12" s="109">
        <v>8406.8273480980242</v>
      </c>
      <c r="D12" s="110">
        <f t="shared" si="0"/>
        <v>81939.188813946283</v>
      </c>
    </row>
    <row r="13" spans="1:4">
      <c r="A13" s="108" t="s">
        <v>302</v>
      </c>
      <c r="B13" s="109">
        <v>33990.382666765261</v>
      </c>
      <c r="C13" s="109">
        <v>6532.9468232478939</v>
      </c>
      <c r="D13" s="110">
        <f t="shared" si="0"/>
        <v>40523.329490013159</v>
      </c>
    </row>
    <row r="14" spans="1:4">
      <c r="A14" s="108" t="s">
        <v>303</v>
      </c>
      <c r="B14" s="109">
        <v>8071.1931502374764</v>
      </c>
      <c r="C14" s="109">
        <v>9772.8287203606706</v>
      </c>
      <c r="D14" s="110">
        <f t="shared" si="0"/>
        <v>17844.021870598146</v>
      </c>
    </row>
    <row r="15" spans="1:4">
      <c r="A15" s="108" t="s">
        <v>305</v>
      </c>
      <c r="B15" s="109">
        <v>86497.496901121733</v>
      </c>
      <c r="C15" s="109">
        <v>4798.3713044768829</v>
      </c>
      <c r="D15" s="110">
        <f t="shared" si="0"/>
        <v>91295.868205598614</v>
      </c>
    </row>
    <row r="16" spans="1:4">
      <c r="A16" s="108" t="s">
        <v>306</v>
      </c>
      <c r="B16" s="109">
        <v>14775.471490773118</v>
      </c>
      <c r="C16" s="109">
        <v>3087.7852940770499</v>
      </c>
      <c r="D16" s="110">
        <f t="shared" si="0"/>
        <v>17863.256784850168</v>
      </c>
    </row>
    <row r="17" spans="1:4">
      <c r="A17" s="108" t="s">
        <v>307</v>
      </c>
      <c r="B17" s="109">
        <v>53428.579521672706</v>
      </c>
      <c r="C17" s="109">
        <v>4900.466711853388</v>
      </c>
      <c r="D17" s="110">
        <f t="shared" si="0"/>
        <v>58329.046233526096</v>
      </c>
    </row>
    <row r="18" spans="1:4">
      <c r="A18" s="108" t="s">
        <v>308</v>
      </c>
      <c r="B18" s="109">
        <v>52389</v>
      </c>
      <c r="C18" s="109">
        <v>4508.0904450256339</v>
      </c>
      <c r="D18" s="110">
        <f t="shared" si="0"/>
        <v>56897.090445025635</v>
      </c>
    </row>
    <row r="19" spans="1:4">
      <c r="A19" s="108" t="s">
        <v>309</v>
      </c>
      <c r="B19" s="109">
        <v>35841.938391688323</v>
      </c>
      <c r="C19" s="109">
        <v>2025.4903614863906</v>
      </c>
      <c r="D19" s="110">
        <f t="shared" si="0"/>
        <v>37867.42875317471</v>
      </c>
    </row>
    <row r="20" spans="1:4" ht="15.75" thickBot="1">
      <c r="A20" s="111" t="s">
        <v>310</v>
      </c>
      <c r="B20" s="112">
        <v>88735.894090917616</v>
      </c>
      <c r="C20" s="112">
        <v>9610.959132295262</v>
      </c>
      <c r="D20" s="113">
        <f t="shared" si="0"/>
        <v>98346.853223212878</v>
      </c>
    </row>
  </sheetData>
  <customSheetViews>
    <customSheetView guid="{32169818-EA48-4D2C-804F-10AFEFD0B9B2}" state="hidden">
      <selection activeCell="B17" sqref="B17"/>
      <pageMargins left="0.7" right="0.7" top="0.75" bottom="0.75" header="0.3" footer="0.3"/>
      <headerFooter alignWithMargins="0"/>
    </customSheetView>
  </customSheetViews>
  <pageMargins left="0.7" right="0.7" top="0.75" bottom="0.75" header="0.3" footer="0.3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42152C8F-68EB-453C-8CAD-139F94EEA2C4}">
  <ds:schemaRefs>
    <ds:schemaRef ds:uri="http://www.w3.org/2001/XMLSchema"/>
    <ds:schemaRef ds:uri="http://microsoft.data.visualization.Client.Excel/1.0"/>
  </ds:schemaRefs>
</ds:datastoreItem>
</file>

<file path=customXml/itemProps2.xml><?xml version="1.0" encoding="utf-8"?>
<ds:datastoreItem xmlns:ds="http://schemas.openxmlformats.org/officeDocument/2006/customXml" ds:itemID="{FAAF58D6-B24C-4097-8540-924DC8C94C81}">
  <ds:schemaRefs>
    <ds:schemaRef ds:uri="http://www.w3.org/2001/XMLSchema"/>
    <ds:schemaRef ds:uri="http://microsoft.data.visualization.engine.tours/1.0"/>
  </ds:schemaRefs>
</ds:datastoreItem>
</file>

<file path=customXml/itemProps3.xml><?xml version="1.0" encoding="utf-8"?>
<ds:datastoreItem xmlns:ds="http://schemas.openxmlformats.org/officeDocument/2006/customXml" ds:itemID="{C3D972C8-BFAE-4FDD-9BCF-34FB7F26E7A2}">
  <ds:schemaRefs>
    <ds:schemaRef ds:uri="http://www.w3.org/2001/XMLSchema"/>
    <ds:schemaRef ds:uri="http://microsoft.data.visualization.Client.Excel.LState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Formulas</vt:lpstr>
      <vt:lpstr>SumIfs CountIfs</vt:lpstr>
      <vt:lpstr>IF Function</vt:lpstr>
      <vt:lpstr>Text</vt:lpstr>
      <vt:lpstr>Text Join</vt:lpstr>
      <vt:lpstr>Sort</vt:lpstr>
      <vt:lpstr>Filter</vt:lpstr>
      <vt:lpstr>Dates</vt:lpstr>
      <vt:lpstr>Referencing</vt:lpstr>
      <vt:lpstr>Addressing Method</vt:lpstr>
      <vt:lpstr>Conditional Formatting</vt:lpstr>
      <vt:lpstr>Conditional Formatting 2</vt:lpstr>
      <vt:lpstr>Pivot Table</vt:lpstr>
      <vt:lpstr>Adv Filter</vt:lpstr>
      <vt:lpstr>Text Function</vt:lpstr>
      <vt:lpstr>data validation</vt:lpstr>
      <vt:lpstr>What If Analysis</vt:lpstr>
      <vt:lpstr>Sheet1</vt:lpstr>
      <vt:lpstr>Emp Name List</vt:lpstr>
      <vt:lpstr>Customers</vt:lpstr>
      <vt:lpstr>Invoice</vt:lpstr>
      <vt:lpstr>Match Func</vt:lpstr>
      <vt:lpstr>Lookup</vt:lpstr>
      <vt:lpstr>Data</vt:lpstr>
      <vt:lpstr>Products</vt:lpstr>
      <vt:lpstr>TableArray</vt:lpstr>
      <vt:lpstr>Charts</vt:lpstr>
      <vt:lpstr>Goal Seek</vt:lpstr>
      <vt:lpstr>SP</vt:lpstr>
      <vt:lpstr>Qtr1</vt:lpstr>
      <vt:lpstr>Jan</vt:lpstr>
      <vt:lpstr>Feb</vt:lpstr>
      <vt:lpstr>Dec</vt:lpstr>
    </vt:vector>
  </TitlesOfParts>
  <Manager>Shubhi</Manager>
  <Company>MAESTROS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Beniwal</dc:creator>
  <cp:lastModifiedBy>Shivani Bhatt (Bhatt Shivani)</cp:lastModifiedBy>
  <cp:lastPrinted>2007-09-13T08:43:48Z</cp:lastPrinted>
  <dcterms:created xsi:type="dcterms:W3CDTF">2007-07-30T07:31:12Z</dcterms:created>
  <dcterms:modified xsi:type="dcterms:W3CDTF">2026-02-23T05:33:46Z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2023-02-09T06:40:57Z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3101d3e0-1f71-45dc-a760-00829a841963</vt:lpwstr>
  </property>
  <property fmtid="{D5CDD505-2E9C-101B-9397-08002B2CF9AE}" pid="7" name="MSIP_Label_defa4170-0d19-0005-0004-bc88714345d2_ActionId">
    <vt:lpwstr>e8f6c2a0-5fd7-4842-bf94-2b9b6301724b</vt:lpwstr>
  </property>
  <property fmtid="{D5CDD505-2E9C-101B-9397-08002B2CF9AE}" pid="8" name="MSIP_Label_defa4170-0d19-0005-0004-bc88714345d2_ContentBits">
    <vt:lpwstr>0</vt:lpwstr>
  </property>
</Properties>
</file>